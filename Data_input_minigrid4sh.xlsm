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filterPrivacy="1" codeName="ThisWorkbook" defaultThemeVersion="124226"/>
  <xr:revisionPtr revIDLastSave="0" documentId="13_ncr:1_{8D9C0B83-CA8B-4F3C-8745-E093EAA954BD}" xr6:coauthVersionLast="47" xr6:coauthVersionMax="47" xr10:uidLastSave="{00000000-0000-0000-0000-000000000000}"/>
  <bookViews>
    <workbookView xWindow="-120" yWindow="-16320" windowWidth="29040" windowHeight="15720" tabRatio="726" xr2:uid="{00000000-000D-0000-FFFF-FFFF00000000}"/>
  </bookViews>
  <sheets>
    <sheet name="Sets" sheetId="1" r:id="rId1"/>
    <sheet name="Parameters" sheetId="2" r:id="rId2"/>
    <sheet name="Gridfailure" sheetId="15" r:id="rId3"/>
    <sheet name="EPV" sheetId="18" r:id="rId4"/>
    <sheet name="loadA" sheetId="12" r:id="rId5"/>
    <sheet name="loadB" sheetId="13" r:id="rId6"/>
    <sheet name="grid_prices" sheetId="10" r:id="rId7"/>
    <sheet name="DieselGenerator" sheetId="17" r:id="rId8"/>
  </sheets>
  <definedNames>
    <definedName name="_xlnm._FilterDatabase" localSheetId="0" hidden="1">Sets!#REF!</definedName>
    <definedName name="genPV">#REF!</definedName>
    <definedName name="load">#REF!</definedName>
    <definedName name="parameters">Parameters!$B$2:$E$102</definedName>
    <definedName name="sets">Sets!$B$2:$H$11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2" i="13" l="1"/>
  <c r="T16" i="13"/>
  <c r="T20" i="13"/>
  <c r="T36" i="13"/>
  <c r="T40" i="13"/>
  <c r="T44" i="13"/>
  <c r="T48" i="13"/>
  <c r="T52" i="13"/>
  <c r="T56" i="13"/>
  <c r="T60" i="13"/>
  <c r="T64" i="13"/>
  <c r="T68" i="13"/>
  <c r="T84" i="13"/>
  <c r="T88" i="13"/>
  <c r="T92" i="13"/>
  <c r="T108" i="13"/>
  <c r="T112" i="13"/>
  <c r="T116" i="13"/>
  <c r="T124" i="13"/>
  <c r="T132" i="13"/>
  <c r="T136" i="13"/>
  <c r="T140" i="13"/>
  <c r="T144" i="13"/>
  <c r="T148" i="13"/>
  <c r="T152" i="13"/>
  <c r="T156" i="13"/>
  <c r="T160" i="13"/>
  <c r="T164" i="13"/>
  <c r="S5" i="13"/>
  <c r="T5" i="13" s="1"/>
  <c r="S9" i="13"/>
  <c r="T9" i="13" s="1"/>
  <c r="S12" i="13"/>
  <c r="S13" i="13"/>
  <c r="T13" i="13" s="1"/>
  <c r="S14" i="13"/>
  <c r="T14" i="13" s="1"/>
  <c r="S15" i="13"/>
  <c r="T15" i="13" s="1"/>
  <c r="S16" i="13"/>
  <c r="S17" i="13"/>
  <c r="T17" i="13" s="1"/>
  <c r="S18" i="13"/>
  <c r="T18" i="13" s="1"/>
  <c r="S19" i="13"/>
  <c r="T19" i="13" s="1"/>
  <c r="S20" i="13"/>
  <c r="S21" i="13"/>
  <c r="T21" i="13" s="1"/>
  <c r="S22" i="13"/>
  <c r="T22" i="13" s="1"/>
  <c r="S25" i="13"/>
  <c r="T25" i="13" s="1"/>
  <c r="S29" i="13"/>
  <c r="T29" i="13" s="1"/>
  <c r="S30" i="13"/>
  <c r="T30" i="13" s="1"/>
  <c r="S33" i="13"/>
  <c r="T33" i="13" s="1"/>
  <c r="S35" i="13"/>
  <c r="U35" i="13" s="1"/>
  <c r="S36" i="13"/>
  <c r="S37" i="13"/>
  <c r="T37" i="13" s="1"/>
  <c r="S38" i="13"/>
  <c r="T38" i="13" s="1"/>
  <c r="S39" i="13"/>
  <c r="T39" i="13" s="1"/>
  <c r="S40" i="13"/>
  <c r="S41" i="13"/>
  <c r="U41" i="13" s="1"/>
  <c r="S42" i="13"/>
  <c r="T42" i="13" s="1"/>
  <c r="S43" i="13"/>
  <c r="U43" i="13" s="1"/>
  <c r="S44" i="13"/>
  <c r="S45" i="13"/>
  <c r="T45" i="13" s="1"/>
  <c r="S48" i="13"/>
  <c r="S49" i="13"/>
  <c r="U49" i="13" s="1"/>
  <c r="S52" i="13"/>
  <c r="S53" i="13"/>
  <c r="T53" i="13" s="1"/>
  <c r="S56" i="13"/>
  <c r="S57" i="13"/>
  <c r="U57" i="13" s="1"/>
  <c r="S60" i="13"/>
  <c r="S61" i="13"/>
  <c r="T61" i="13" s="1"/>
  <c r="S62" i="13"/>
  <c r="T62" i="13" s="1"/>
  <c r="S63" i="13"/>
  <c r="T63" i="13" s="1"/>
  <c r="S64" i="13"/>
  <c r="U64" i="13" s="1"/>
  <c r="S65" i="13"/>
  <c r="T65" i="13" s="1"/>
  <c r="S66" i="13"/>
  <c r="T66" i="13" s="1"/>
  <c r="S67" i="13"/>
  <c r="T67" i="13" s="1"/>
  <c r="S68" i="13"/>
  <c r="S69" i="13"/>
  <c r="T69" i="13" s="1"/>
  <c r="S73" i="13"/>
  <c r="T73" i="13" s="1"/>
  <c r="S77" i="13"/>
  <c r="T77" i="13" s="1"/>
  <c r="S81" i="13"/>
  <c r="T81" i="13" s="1"/>
  <c r="S84" i="13"/>
  <c r="S85" i="13"/>
  <c r="T85" i="13" s="1"/>
  <c r="S86" i="13"/>
  <c r="T86" i="13" s="1"/>
  <c r="S87" i="13"/>
  <c r="T87" i="13" s="1"/>
  <c r="S88" i="13"/>
  <c r="S89" i="13"/>
  <c r="U89" i="13" s="1"/>
  <c r="S90" i="13"/>
  <c r="T90" i="13" s="1"/>
  <c r="S91" i="13"/>
  <c r="T91" i="13" s="1"/>
  <c r="S92" i="13"/>
  <c r="S93" i="13"/>
  <c r="T93" i="13" s="1"/>
  <c r="S94" i="13"/>
  <c r="T94" i="13" s="1"/>
  <c r="S97" i="13"/>
  <c r="T97" i="13" s="1"/>
  <c r="S101" i="13"/>
  <c r="T101" i="13" s="1"/>
  <c r="S102" i="13"/>
  <c r="T102" i="13" s="1"/>
  <c r="S105" i="13"/>
  <c r="T105" i="13" s="1"/>
  <c r="S108" i="13"/>
  <c r="S109" i="13"/>
  <c r="T109" i="13" s="1"/>
  <c r="S110" i="13"/>
  <c r="T110" i="13" s="1"/>
  <c r="S111" i="13"/>
  <c r="T111" i="13" s="1"/>
  <c r="S112" i="13"/>
  <c r="S113" i="13"/>
  <c r="T113" i="13" s="1"/>
  <c r="S114" i="13"/>
  <c r="T114" i="13" s="1"/>
  <c r="S115" i="13"/>
  <c r="T115" i="13" s="1"/>
  <c r="S116" i="13"/>
  <c r="S117" i="13"/>
  <c r="T117" i="13" s="1"/>
  <c r="S118" i="13"/>
  <c r="T118" i="13" s="1"/>
  <c r="S124" i="13"/>
  <c r="S125" i="13"/>
  <c r="T125" i="13" s="1"/>
  <c r="S126" i="13"/>
  <c r="T126" i="13" s="1"/>
  <c r="S132" i="13"/>
  <c r="S133" i="13"/>
  <c r="T133" i="13" s="1"/>
  <c r="S134" i="13"/>
  <c r="T134" i="13" s="1"/>
  <c r="S135" i="13"/>
  <c r="T135" i="13" s="1"/>
  <c r="S136" i="13"/>
  <c r="S137" i="13"/>
  <c r="U137" i="13" s="1"/>
  <c r="S138" i="13"/>
  <c r="T138" i="13" s="1"/>
  <c r="S139" i="13"/>
  <c r="U139" i="13" s="1"/>
  <c r="S140" i="13"/>
  <c r="S141" i="13"/>
  <c r="T141" i="13" s="1"/>
  <c r="S144" i="13"/>
  <c r="S145" i="13"/>
  <c r="T145" i="13" s="1"/>
  <c r="S148" i="13"/>
  <c r="S149" i="13"/>
  <c r="T149" i="13" s="1"/>
  <c r="S152" i="13"/>
  <c r="S153" i="13"/>
  <c r="T153" i="13" s="1"/>
  <c r="S156" i="13"/>
  <c r="S157" i="13"/>
  <c r="T157" i="13" s="1"/>
  <c r="S158" i="13"/>
  <c r="T158" i="13" s="1"/>
  <c r="S159" i="13"/>
  <c r="T159" i="13" s="1"/>
  <c r="S160" i="13"/>
  <c r="U160" i="13" s="1"/>
  <c r="S161" i="13"/>
  <c r="T161" i="13" s="1"/>
  <c r="S162" i="13"/>
  <c r="T162" i="13" s="1"/>
  <c r="S163" i="13"/>
  <c r="T163" i="13" s="1"/>
  <c r="S164" i="13"/>
  <c r="S165" i="13"/>
  <c r="T165" i="13" s="1"/>
  <c r="S166" i="13"/>
  <c r="T166" i="13" s="1"/>
  <c r="S169" i="13"/>
  <c r="T169" i="13" s="1"/>
  <c r="U159" i="13"/>
  <c r="F170" i="13"/>
  <c r="S170" i="13" s="1"/>
  <c r="T170" i="13" s="1"/>
  <c r="F169" i="13"/>
  <c r="F168" i="13"/>
  <c r="S168" i="13" s="1"/>
  <c r="T168" i="13" s="1"/>
  <c r="F167" i="13"/>
  <c r="S167" i="13" s="1"/>
  <c r="T167" i="13" s="1"/>
  <c r="F166" i="13"/>
  <c r="F165" i="13"/>
  <c r="F155" i="13"/>
  <c r="S155" i="13" s="1"/>
  <c r="T155" i="13" s="1"/>
  <c r="F154" i="13"/>
  <c r="S154" i="13" s="1"/>
  <c r="T154" i="13" s="1"/>
  <c r="F153" i="13"/>
  <c r="F152" i="13"/>
  <c r="F151" i="13"/>
  <c r="S151" i="13" s="1"/>
  <c r="T151" i="13" s="1"/>
  <c r="F150" i="13"/>
  <c r="S150" i="13" s="1"/>
  <c r="T150" i="13" s="1"/>
  <c r="F149" i="13"/>
  <c r="F148" i="13"/>
  <c r="F147" i="13"/>
  <c r="S147" i="13" s="1"/>
  <c r="T147" i="13" s="1"/>
  <c r="F146" i="13"/>
  <c r="S146" i="13" s="1"/>
  <c r="T146" i="13" s="1"/>
  <c r="F145" i="13"/>
  <c r="F144" i="13"/>
  <c r="F143" i="13"/>
  <c r="S143" i="13" s="1"/>
  <c r="T143" i="13" s="1"/>
  <c r="F142" i="13"/>
  <c r="S142" i="13" s="1"/>
  <c r="T142" i="13" s="1"/>
  <c r="F141" i="13"/>
  <c r="F131" i="13"/>
  <c r="S131" i="13" s="1"/>
  <c r="T131" i="13" s="1"/>
  <c r="F130" i="13"/>
  <c r="S130" i="13" s="1"/>
  <c r="T130" i="13" s="1"/>
  <c r="F129" i="13"/>
  <c r="S129" i="13" s="1"/>
  <c r="T129" i="13" s="1"/>
  <c r="F128" i="13"/>
  <c r="S128" i="13" s="1"/>
  <c r="T128" i="13" s="1"/>
  <c r="F127" i="13"/>
  <c r="S127" i="13" s="1"/>
  <c r="T127" i="13" s="1"/>
  <c r="F126" i="13"/>
  <c r="F125" i="13"/>
  <c r="F124" i="13"/>
  <c r="F123" i="13"/>
  <c r="S123" i="13" s="1"/>
  <c r="F122" i="13"/>
  <c r="S122" i="13" s="1"/>
  <c r="T122" i="13" s="1"/>
  <c r="F121" i="13"/>
  <c r="S121" i="13" s="1"/>
  <c r="T121" i="13" s="1"/>
  <c r="F120" i="13"/>
  <c r="S120" i="13" s="1"/>
  <c r="T120" i="13" s="1"/>
  <c r="F119" i="13"/>
  <c r="S119" i="13" s="1"/>
  <c r="F118" i="13"/>
  <c r="F117" i="13"/>
  <c r="F107" i="13"/>
  <c r="S107" i="13" s="1"/>
  <c r="T107" i="13" s="1"/>
  <c r="F106" i="13"/>
  <c r="S106" i="13" s="1"/>
  <c r="T106" i="13" s="1"/>
  <c r="F105" i="13"/>
  <c r="F104" i="13"/>
  <c r="S104" i="13" s="1"/>
  <c r="T104" i="13" s="1"/>
  <c r="F103" i="13"/>
  <c r="S103" i="13" s="1"/>
  <c r="T103" i="13" s="1"/>
  <c r="F102" i="13"/>
  <c r="F101" i="13"/>
  <c r="F100" i="13"/>
  <c r="S100" i="13" s="1"/>
  <c r="T100" i="13" s="1"/>
  <c r="F99" i="13"/>
  <c r="S99" i="13" s="1"/>
  <c r="T99" i="13" s="1"/>
  <c r="F98" i="13"/>
  <c r="S98" i="13" s="1"/>
  <c r="T98" i="13" s="1"/>
  <c r="F97" i="13"/>
  <c r="F96" i="13"/>
  <c r="S96" i="13" s="1"/>
  <c r="T96" i="13" s="1"/>
  <c r="F95" i="13"/>
  <c r="S95" i="13" s="1"/>
  <c r="F94" i="13"/>
  <c r="F93" i="13"/>
  <c r="F83" i="13"/>
  <c r="S83" i="13" s="1"/>
  <c r="T83" i="13" s="1"/>
  <c r="F82" i="13"/>
  <c r="S82" i="13" s="1"/>
  <c r="T82" i="13" s="1"/>
  <c r="F81" i="13"/>
  <c r="F80" i="13"/>
  <c r="S80" i="13" s="1"/>
  <c r="T80" i="13" s="1"/>
  <c r="F79" i="13"/>
  <c r="S79" i="13" s="1"/>
  <c r="T79" i="13" s="1"/>
  <c r="F78" i="13"/>
  <c r="S78" i="13" s="1"/>
  <c r="T78" i="13" s="1"/>
  <c r="F77" i="13"/>
  <c r="F76" i="13"/>
  <c r="S76" i="13" s="1"/>
  <c r="T76" i="13" s="1"/>
  <c r="F75" i="13"/>
  <c r="S75" i="13" s="1"/>
  <c r="T75" i="13" s="1"/>
  <c r="F74" i="13"/>
  <c r="S74" i="13" s="1"/>
  <c r="T74" i="13" s="1"/>
  <c r="F73" i="13"/>
  <c r="F72" i="13"/>
  <c r="S72" i="13" s="1"/>
  <c r="T72" i="13" s="1"/>
  <c r="F71" i="13"/>
  <c r="S71" i="13" s="1"/>
  <c r="T71" i="13" s="1"/>
  <c r="F70" i="13"/>
  <c r="S70" i="13" s="1"/>
  <c r="T70" i="13" s="1"/>
  <c r="F69" i="13"/>
  <c r="F59" i="13"/>
  <c r="S59" i="13" s="1"/>
  <c r="T59" i="13" s="1"/>
  <c r="F58" i="13"/>
  <c r="S58" i="13" s="1"/>
  <c r="T58" i="13" s="1"/>
  <c r="F57" i="13"/>
  <c r="F56" i="13"/>
  <c r="F55" i="13"/>
  <c r="S55" i="13" s="1"/>
  <c r="T55" i="13" s="1"/>
  <c r="F54" i="13"/>
  <c r="S54" i="13" s="1"/>
  <c r="T54" i="13" s="1"/>
  <c r="F53" i="13"/>
  <c r="F52" i="13"/>
  <c r="F51" i="13"/>
  <c r="S51" i="13" s="1"/>
  <c r="T51" i="13" s="1"/>
  <c r="F50" i="13"/>
  <c r="S50" i="13" s="1"/>
  <c r="T50" i="13" s="1"/>
  <c r="F49" i="13"/>
  <c r="F48" i="13"/>
  <c r="F47" i="13"/>
  <c r="S47" i="13" s="1"/>
  <c r="T47" i="13" s="1"/>
  <c r="F46" i="13"/>
  <c r="S46" i="13" s="1"/>
  <c r="T46" i="13" s="1"/>
  <c r="F45" i="13"/>
  <c r="F34" i="13"/>
  <c r="S34" i="13" s="1"/>
  <c r="T34" i="13" s="1"/>
  <c r="F33" i="13"/>
  <c r="F32" i="13"/>
  <c r="S32" i="13" s="1"/>
  <c r="T32" i="13" s="1"/>
  <c r="F31" i="13"/>
  <c r="S31" i="13" s="1"/>
  <c r="F30" i="13"/>
  <c r="F29" i="13"/>
  <c r="F28" i="13"/>
  <c r="S28" i="13" s="1"/>
  <c r="T28" i="13" s="1"/>
  <c r="F27" i="13"/>
  <c r="S27" i="13" s="1"/>
  <c r="T27" i="13" s="1"/>
  <c r="F26" i="13"/>
  <c r="S26" i="13" s="1"/>
  <c r="T26" i="13" s="1"/>
  <c r="F25" i="13"/>
  <c r="F24" i="13"/>
  <c r="S24" i="13" s="1"/>
  <c r="T24" i="13" s="1"/>
  <c r="F23" i="13"/>
  <c r="S23" i="13" s="1"/>
  <c r="F22" i="13"/>
  <c r="F21" i="13"/>
  <c r="F4" i="13"/>
  <c r="S4" i="13" s="1"/>
  <c r="F5" i="13"/>
  <c r="F6" i="13"/>
  <c r="S6" i="13" s="1"/>
  <c r="T6" i="13" s="1"/>
  <c r="F7" i="13"/>
  <c r="S7" i="13" s="1"/>
  <c r="T7" i="13" s="1"/>
  <c r="F8" i="13"/>
  <c r="S8" i="13" s="1"/>
  <c r="T8" i="13" s="1"/>
  <c r="F9" i="13"/>
  <c r="F10" i="13"/>
  <c r="S10" i="13" s="1"/>
  <c r="T10" i="13" s="1"/>
  <c r="F11" i="13"/>
  <c r="S11" i="13" s="1"/>
  <c r="T11" i="13" s="1"/>
  <c r="F3" i="13"/>
  <c r="S3" i="13" s="1"/>
  <c r="T3" i="13" s="1"/>
  <c r="U15" i="13"/>
  <c r="U16" i="13"/>
  <c r="U18" i="13"/>
  <c r="U40" i="13"/>
  <c r="U45" i="13"/>
  <c r="U60" i="13"/>
  <c r="U61" i="13"/>
  <c r="U87" i="13"/>
  <c r="U90" i="13"/>
  <c r="U111" i="13"/>
  <c r="U112" i="13"/>
  <c r="U114" i="13"/>
  <c r="U136" i="13"/>
  <c r="U158" i="13"/>
  <c r="U162" i="13"/>
  <c r="U164" i="13"/>
  <c r="C31" i="17"/>
  <c r="H7" i="17"/>
  <c r="H8" i="17" s="1"/>
  <c r="I8" i="17" s="1"/>
  <c r="D92" i="2"/>
  <c r="I44" i="2"/>
  <c r="F44" i="2"/>
  <c r="H44" i="2"/>
  <c r="T119" i="13" l="1"/>
  <c r="U119" i="13"/>
  <c r="U95" i="13"/>
  <c r="T95" i="13"/>
  <c r="T4" i="13"/>
  <c r="U4" i="13"/>
  <c r="U123" i="13"/>
  <c r="T123" i="13"/>
  <c r="T23" i="13"/>
  <c r="U23" i="13"/>
  <c r="T31" i="13"/>
  <c r="U31" i="13"/>
  <c r="U134" i="13"/>
  <c r="U29" i="13"/>
  <c r="T139" i="13"/>
  <c r="T43" i="13"/>
  <c r="T35" i="13"/>
  <c r="U161" i="13"/>
  <c r="U77" i="13"/>
  <c r="U133" i="13"/>
  <c r="U37" i="13"/>
  <c r="T137" i="13"/>
  <c r="T89" i="13"/>
  <c r="T57" i="13"/>
  <c r="T49" i="13"/>
  <c r="T41" i="13"/>
  <c r="U157" i="13"/>
  <c r="U149" i="13"/>
  <c r="U53" i="13"/>
  <c r="U69" i="13"/>
  <c r="U141" i="13"/>
  <c r="U97" i="13"/>
  <c r="U115" i="13"/>
  <c r="U92" i="13"/>
  <c r="U79" i="13"/>
  <c r="U71" i="13"/>
  <c r="U62" i="13"/>
  <c r="U47" i="13"/>
  <c r="U30" i="13"/>
  <c r="U55" i="13"/>
  <c r="U94" i="13"/>
  <c r="U21" i="13"/>
  <c r="U103" i="13"/>
  <c r="U99" i="13"/>
  <c r="U165" i="13"/>
  <c r="U116" i="13"/>
  <c r="U63" i="13"/>
  <c r="U28" i="13"/>
  <c r="U148" i="13"/>
  <c r="U110" i="13"/>
  <c r="U91" i="13"/>
  <c r="U22" i="13"/>
  <c r="U135" i="13"/>
  <c r="U109" i="13"/>
  <c r="U86" i="13"/>
  <c r="U108" i="13"/>
  <c r="U85" i="13"/>
  <c r="U39" i="13"/>
  <c r="U131" i="13"/>
  <c r="U107" i="13"/>
  <c r="U84" i="13"/>
  <c r="U38" i="13"/>
  <c r="U14" i="13"/>
  <c r="U124" i="13"/>
  <c r="U102" i="13"/>
  <c r="U13" i="13"/>
  <c r="U5" i="13"/>
  <c r="U170" i="13"/>
  <c r="U46" i="13"/>
  <c r="U70" i="13"/>
  <c r="U153" i="13"/>
  <c r="U54" i="13"/>
  <c r="U145" i="13"/>
  <c r="U8" i="13"/>
  <c r="U24" i="13"/>
  <c r="U32" i="13"/>
  <c r="U75" i="13"/>
  <c r="U83" i="13"/>
  <c r="U100" i="13"/>
  <c r="U117" i="13"/>
  <c r="U125" i="13"/>
  <c r="U142" i="13"/>
  <c r="U7" i="13"/>
  <c r="U25" i="13"/>
  <c r="U33" i="13"/>
  <c r="U51" i="13"/>
  <c r="U59" i="13"/>
  <c r="U76" i="13"/>
  <c r="U93" i="13"/>
  <c r="U101" i="13"/>
  <c r="U118" i="13"/>
  <c r="U126" i="13"/>
  <c r="U143" i="13"/>
  <c r="U151" i="13"/>
  <c r="U168" i="13"/>
  <c r="U6" i="13"/>
  <c r="U127" i="13"/>
  <c r="U144" i="13"/>
  <c r="U152" i="13"/>
  <c r="U169" i="13"/>
  <c r="U78" i="13"/>
  <c r="U156" i="13"/>
  <c r="U132" i="13"/>
  <c r="U44" i="13"/>
  <c r="U12" i="13"/>
  <c r="U163" i="13"/>
  <c r="U147" i="13"/>
  <c r="U67" i="13"/>
  <c r="U27" i="13"/>
  <c r="U19" i="13"/>
  <c r="U11" i="13"/>
  <c r="U166" i="13"/>
  <c r="U20" i="13"/>
  <c r="U154" i="13"/>
  <c r="U146" i="13"/>
  <c r="U138" i="13"/>
  <c r="U130" i="13"/>
  <c r="U122" i="13"/>
  <c r="U106" i="13"/>
  <c r="U98" i="13"/>
  <c r="U82" i="13"/>
  <c r="U74" i="13"/>
  <c r="U66" i="13"/>
  <c r="U58" i="13"/>
  <c r="U50" i="13"/>
  <c r="U42" i="13"/>
  <c r="U34" i="13"/>
  <c r="U26" i="13"/>
  <c r="U10" i="13"/>
  <c r="U150" i="13"/>
  <c r="U68" i="13"/>
  <c r="U3" i="13"/>
  <c r="U129" i="13"/>
  <c r="U121" i="13"/>
  <c r="U113" i="13"/>
  <c r="U105" i="13"/>
  <c r="U81" i="13"/>
  <c r="U73" i="13"/>
  <c r="U65" i="13"/>
  <c r="U17" i="13"/>
  <c r="U9" i="13"/>
  <c r="U140" i="13"/>
  <c r="U52" i="13"/>
  <c r="U36" i="13"/>
  <c r="U155" i="13"/>
  <c r="U128" i="13"/>
  <c r="U120" i="13"/>
  <c r="U104" i="13"/>
  <c r="U96" i="13"/>
  <c r="U88" i="13"/>
  <c r="U80" i="13"/>
  <c r="U72" i="13"/>
  <c r="U56" i="13"/>
  <c r="U48" i="13"/>
  <c r="U167" i="13"/>
  <c r="G5" i="15"/>
  <c r="G4" i="15"/>
  <c r="G3" i="15"/>
  <c r="G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3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3" i="18"/>
  <c r="E170" i="18"/>
  <c r="D170" i="18"/>
  <c r="B170" i="18"/>
  <c r="E169" i="18"/>
  <c r="D169" i="18"/>
  <c r="B169" i="18"/>
  <c r="E168" i="18"/>
  <c r="D168" i="18"/>
  <c r="B168" i="18"/>
  <c r="E167" i="18"/>
  <c r="D167" i="18"/>
  <c r="B167" i="18"/>
  <c r="E166" i="18"/>
  <c r="D166" i="18"/>
  <c r="B166" i="18"/>
  <c r="E165" i="18"/>
  <c r="D165" i="18"/>
  <c r="B165" i="18"/>
  <c r="E164" i="18"/>
  <c r="D164" i="18"/>
  <c r="B164" i="18"/>
  <c r="E163" i="18"/>
  <c r="D163" i="18"/>
  <c r="B163" i="18"/>
  <c r="E162" i="18"/>
  <c r="D162" i="18"/>
  <c r="B162" i="18"/>
  <c r="E161" i="18"/>
  <c r="D161" i="18"/>
  <c r="B161" i="18"/>
  <c r="E160" i="18"/>
  <c r="D160" i="18"/>
  <c r="B160" i="18"/>
  <c r="E159" i="18"/>
  <c r="D159" i="18"/>
  <c r="B159" i="18"/>
  <c r="E158" i="18"/>
  <c r="D158" i="18"/>
  <c r="B158" i="18"/>
  <c r="E157" i="18"/>
  <c r="D157" i="18"/>
  <c r="B157" i="18"/>
  <c r="E156" i="18"/>
  <c r="D156" i="18"/>
  <c r="B156" i="18"/>
  <c r="E155" i="18"/>
  <c r="D155" i="18"/>
  <c r="B155" i="18"/>
  <c r="E154" i="18"/>
  <c r="D154" i="18"/>
  <c r="B154" i="18"/>
  <c r="E153" i="18"/>
  <c r="D153" i="18"/>
  <c r="B153" i="18"/>
  <c r="E152" i="18"/>
  <c r="D152" i="18"/>
  <c r="B152" i="18"/>
  <c r="E151" i="18"/>
  <c r="D151" i="18"/>
  <c r="B151" i="18"/>
  <c r="E150" i="18"/>
  <c r="D150" i="18"/>
  <c r="B150" i="18"/>
  <c r="E149" i="18"/>
  <c r="D149" i="18"/>
  <c r="B149" i="18"/>
  <c r="E148" i="18"/>
  <c r="D148" i="18"/>
  <c r="B148" i="18"/>
  <c r="E147" i="18"/>
  <c r="D147" i="18"/>
  <c r="B147" i="18"/>
  <c r="E146" i="18"/>
  <c r="D146" i="18"/>
  <c r="B146" i="18"/>
  <c r="E145" i="18"/>
  <c r="D145" i="18"/>
  <c r="B145" i="18"/>
  <c r="E144" i="18"/>
  <c r="D144" i="18"/>
  <c r="B144" i="18"/>
  <c r="E143" i="18"/>
  <c r="D143" i="18"/>
  <c r="B143" i="18"/>
  <c r="E142" i="18"/>
  <c r="D142" i="18"/>
  <c r="B142" i="18"/>
  <c r="E141" i="18"/>
  <c r="D141" i="18"/>
  <c r="B141" i="18"/>
  <c r="E140" i="18"/>
  <c r="D140" i="18"/>
  <c r="B140" i="18"/>
  <c r="E139" i="18"/>
  <c r="D139" i="18"/>
  <c r="B139" i="18"/>
  <c r="E138" i="18"/>
  <c r="D138" i="18"/>
  <c r="B138" i="18"/>
  <c r="E137" i="18"/>
  <c r="D137" i="18"/>
  <c r="B137" i="18"/>
  <c r="E136" i="18"/>
  <c r="D136" i="18"/>
  <c r="B136" i="18"/>
  <c r="E135" i="18"/>
  <c r="D135" i="18"/>
  <c r="B135" i="18"/>
  <c r="E134" i="18"/>
  <c r="D134" i="18"/>
  <c r="B134" i="18"/>
  <c r="E133" i="18"/>
  <c r="D133" i="18"/>
  <c r="B133" i="18"/>
  <c r="E132" i="18"/>
  <c r="D132" i="18"/>
  <c r="B132" i="18"/>
  <c r="E131" i="18"/>
  <c r="D131" i="18"/>
  <c r="B131" i="18"/>
  <c r="E130" i="18"/>
  <c r="D130" i="18"/>
  <c r="B130" i="18"/>
  <c r="E129" i="18"/>
  <c r="D129" i="18"/>
  <c r="B129" i="18"/>
  <c r="E128" i="18"/>
  <c r="D128" i="18"/>
  <c r="B128" i="18"/>
  <c r="E127" i="18"/>
  <c r="D127" i="18"/>
  <c r="B127" i="18"/>
  <c r="E126" i="18"/>
  <c r="D126" i="18"/>
  <c r="B126" i="18"/>
  <c r="E125" i="18"/>
  <c r="D125" i="18"/>
  <c r="B125" i="18"/>
  <c r="E124" i="18"/>
  <c r="D124" i="18"/>
  <c r="B124" i="18"/>
  <c r="E123" i="18"/>
  <c r="D123" i="18"/>
  <c r="B123" i="18"/>
  <c r="E122" i="18"/>
  <c r="D122" i="18"/>
  <c r="B122" i="18"/>
  <c r="E121" i="18"/>
  <c r="D121" i="18"/>
  <c r="B121" i="18"/>
  <c r="E120" i="18"/>
  <c r="D120" i="18"/>
  <c r="B120" i="18"/>
  <c r="E119" i="18"/>
  <c r="D119" i="18"/>
  <c r="B119" i="18"/>
  <c r="E118" i="18"/>
  <c r="D118" i="18"/>
  <c r="B118" i="18"/>
  <c r="E117" i="18"/>
  <c r="D117" i="18"/>
  <c r="B117" i="18"/>
  <c r="E116" i="18"/>
  <c r="D116" i="18"/>
  <c r="B116" i="18"/>
  <c r="E115" i="18"/>
  <c r="D115" i="18"/>
  <c r="B115" i="18"/>
  <c r="E114" i="18"/>
  <c r="D114" i="18"/>
  <c r="B114" i="18"/>
  <c r="E113" i="18"/>
  <c r="D113" i="18"/>
  <c r="B113" i="18"/>
  <c r="E112" i="18"/>
  <c r="D112" i="18"/>
  <c r="B112" i="18"/>
  <c r="E111" i="18"/>
  <c r="D111" i="18"/>
  <c r="B111" i="18"/>
  <c r="E110" i="18"/>
  <c r="D110" i="18"/>
  <c r="B110" i="18"/>
  <c r="E109" i="18"/>
  <c r="D109" i="18"/>
  <c r="B109" i="18"/>
  <c r="E108" i="18"/>
  <c r="D108" i="18"/>
  <c r="B108" i="18"/>
  <c r="E107" i="18"/>
  <c r="D107" i="18"/>
  <c r="B107" i="18"/>
  <c r="E106" i="18"/>
  <c r="D106" i="18"/>
  <c r="B106" i="18"/>
  <c r="E105" i="18"/>
  <c r="D105" i="18"/>
  <c r="B105" i="18"/>
  <c r="E104" i="18"/>
  <c r="D104" i="18"/>
  <c r="B104" i="18"/>
  <c r="E103" i="18"/>
  <c r="D103" i="18"/>
  <c r="B103" i="18"/>
  <c r="E102" i="18"/>
  <c r="D102" i="18"/>
  <c r="B102" i="18"/>
  <c r="E101" i="18"/>
  <c r="D101" i="18"/>
  <c r="B101" i="18"/>
  <c r="E100" i="18"/>
  <c r="D100" i="18"/>
  <c r="B100" i="18"/>
  <c r="E99" i="18"/>
  <c r="D99" i="18"/>
  <c r="B99" i="18"/>
  <c r="E98" i="18"/>
  <c r="D98" i="18"/>
  <c r="B98" i="18"/>
  <c r="E97" i="18"/>
  <c r="D97" i="18"/>
  <c r="B97" i="18"/>
  <c r="E96" i="18"/>
  <c r="D96" i="18"/>
  <c r="B96" i="18"/>
  <c r="E95" i="18"/>
  <c r="D95" i="18"/>
  <c r="B95" i="18"/>
  <c r="E94" i="18"/>
  <c r="D94" i="18"/>
  <c r="B94" i="18"/>
  <c r="E93" i="18"/>
  <c r="D93" i="18"/>
  <c r="B93" i="18"/>
  <c r="E92" i="18"/>
  <c r="D92" i="18"/>
  <c r="B92" i="18"/>
  <c r="E91" i="18"/>
  <c r="D91" i="18"/>
  <c r="B91" i="18"/>
  <c r="E90" i="18"/>
  <c r="D90" i="18"/>
  <c r="B90" i="18"/>
  <c r="E89" i="18"/>
  <c r="D89" i="18"/>
  <c r="B89" i="18"/>
  <c r="E88" i="18"/>
  <c r="D88" i="18"/>
  <c r="B88" i="18"/>
  <c r="E87" i="18"/>
  <c r="D87" i="18"/>
  <c r="B87" i="18"/>
  <c r="E86" i="18"/>
  <c r="D86" i="18"/>
  <c r="B86" i="18"/>
  <c r="E85" i="18"/>
  <c r="D85" i="18"/>
  <c r="B85" i="18"/>
  <c r="E84" i="18"/>
  <c r="D84" i="18"/>
  <c r="B84" i="18"/>
  <c r="E83" i="18"/>
  <c r="D83" i="18"/>
  <c r="B83" i="18"/>
  <c r="E82" i="18"/>
  <c r="D82" i="18"/>
  <c r="B82" i="18"/>
  <c r="E81" i="18"/>
  <c r="D81" i="18"/>
  <c r="B81" i="18"/>
  <c r="E80" i="18"/>
  <c r="D80" i="18"/>
  <c r="B80" i="18"/>
  <c r="E79" i="18"/>
  <c r="D79" i="18"/>
  <c r="B79" i="18"/>
  <c r="E78" i="18"/>
  <c r="D78" i="18"/>
  <c r="B78" i="18"/>
  <c r="E77" i="18"/>
  <c r="D77" i="18"/>
  <c r="B77" i="18"/>
  <c r="E76" i="18"/>
  <c r="D76" i="18"/>
  <c r="B76" i="18"/>
  <c r="E75" i="18"/>
  <c r="D75" i="18"/>
  <c r="B75" i="18"/>
  <c r="E74" i="18"/>
  <c r="D74" i="18"/>
  <c r="B74" i="18"/>
  <c r="E73" i="18"/>
  <c r="D73" i="18"/>
  <c r="B73" i="18"/>
  <c r="E72" i="18"/>
  <c r="D72" i="18"/>
  <c r="B72" i="18"/>
  <c r="E71" i="18"/>
  <c r="D71" i="18"/>
  <c r="B71" i="18"/>
  <c r="E70" i="18"/>
  <c r="D70" i="18"/>
  <c r="B70" i="18"/>
  <c r="E69" i="18"/>
  <c r="D69" i="18"/>
  <c r="B69" i="18"/>
  <c r="E68" i="18"/>
  <c r="D68" i="18"/>
  <c r="B68" i="18"/>
  <c r="E67" i="18"/>
  <c r="D67" i="18"/>
  <c r="B67" i="18"/>
  <c r="E66" i="18"/>
  <c r="D66" i="18"/>
  <c r="B66" i="18"/>
  <c r="E65" i="18"/>
  <c r="D65" i="18"/>
  <c r="B65" i="18"/>
  <c r="E64" i="18"/>
  <c r="D64" i="18"/>
  <c r="B64" i="18"/>
  <c r="E63" i="18"/>
  <c r="D63" i="18"/>
  <c r="B63" i="18"/>
  <c r="E62" i="18"/>
  <c r="D62" i="18"/>
  <c r="B62" i="18"/>
  <c r="E61" i="18"/>
  <c r="D61" i="18"/>
  <c r="B61" i="18"/>
  <c r="E60" i="18"/>
  <c r="D60" i="18"/>
  <c r="B60" i="18"/>
  <c r="E59" i="18"/>
  <c r="D59" i="18"/>
  <c r="B59" i="18"/>
  <c r="E58" i="18"/>
  <c r="D58" i="18"/>
  <c r="B58" i="18"/>
  <c r="E57" i="18"/>
  <c r="D57" i="18"/>
  <c r="B57" i="18"/>
  <c r="E56" i="18"/>
  <c r="D56" i="18"/>
  <c r="B56" i="18"/>
  <c r="E55" i="18"/>
  <c r="D55" i="18"/>
  <c r="B55" i="18"/>
  <c r="E54" i="18"/>
  <c r="D54" i="18"/>
  <c r="B54" i="18"/>
  <c r="E53" i="18"/>
  <c r="D53" i="18"/>
  <c r="B53" i="18"/>
  <c r="E52" i="18"/>
  <c r="D52" i="18"/>
  <c r="B52" i="18"/>
  <c r="E51" i="18"/>
  <c r="D51" i="18"/>
  <c r="B51" i="18"/>
  <c r="E50" i="18"/>
  <c r="D50" i="18"/>
  <c r="B50" i="18"/>
  <c r="E49" i="18"/>
  <c r="D49" i="18"/>
  <c r="B49" i="18"/>
  <c r="E48" i="18"/>
  <c r="D48" i="18"/>
  <c r="B48" i="18"/>
  <c r="E47" i="18"/>
  <c r="D47" i="18"/>
  <c r="B47" i="18"/>
  <c r="E46" i="18"/>
  <c r="D46" i="18"/>
  <c r="B46" i="18"/>
  <c r="E45" i="18"/>
  <c r="D45" i="18"/>
  <c r="B45" i="18"/>
  <c r="E44" i="18"/>
  <c r="D44" i="18"/>
  <c r="B44" i="18"/>
  <c r="E43" i="18"/>
  <c r="D43" i="18"/>
  <c r="B43" i="18"/>
  <c r="E42" i="18"/>
  <c r="D42" i="18"/>
  <c r="B42" i="18"/>
  <c r="E41" i="18"/>
  <c r="D41" i="18"/>
  <c r="B41" i="18"/>
  <c r="E40" i="18"/>
  <c r="D40" i="18"/>
  <c r="B40" i="18"/>
  <c r="E39" i="18"/>
  <c r="D39" i="18"/>
  <c r="B39" i="18"/>
  <c r="E38" i="18"/>
  <c r="D38" i="18"/>
  <c r="B38" i="18"/>
  <c r="E37" i="18"/>
  <c r="D37" i="18"/>
  <c r="B37" i="18"/>
  <c r="E36" i="18"/>
  <c r="D36" i="18"/>
  <c r="B36" i="18"/>
  <c r="E35" i="18"/>
  <c r="D35" i="18"/>
  <c r="B35" i="18"/>
  <c r="E34" i="18"/>
  <c r="D34" i="18"/>
  <c r="B34" i="18"/>
  <c r="E33" i="18"/>
  <c r="D33" i="18"/>
  <c r="B33" i="18"/>
  <c r="E32" i="18"/>
  <c r="D32" i="18"/>
  <c r="B32" i="18"/>
  <c r="E31" i="18"/>
  <c r="D31" i="18"/>
  <c r="B31" i="18"/>
  <c r="E30" i="18"/>
  <c r="D30" i="18"/>
  <c r="B30" i="18"/>
  <c r="E29" i="18"/>
  <c r="D29" i="18"/>
  <c r="B29" i="18"/>
  <c r="E28" i="18"/>
  <c r="D28" i="18"/>
  <c r="B28" i="18"/>
  <c r="E27" i="18"/>
  <c r="D27" i="18"/>
  <c r="B27" i="18"/>
  <c r="E26" i="18"/>
  <c r="D26" i="18"/>
  <c r="B26" i="18"/>
  <c r="E25" i="18"/>
  <c r="D25" i="18"/>
  <c r="B25" i="18"/>
  <c r="E24" i="18"/>
  <c r="D24" i="18"/>
  <c r="B24" i="18"/>
  <c r="E23" i="18"/>
  <c r="D23" i="18"/>
  <c r="B23" i="18"/>
  <c r="E22" i="18"/>
  <c r="D22" i="18"/>
  <c r="B22" i="18"/>
  <c r="E21" i="18"/>
  <c r="D21" i="18"/>
  <c r="B21" i="18"/>
  <c r="E20" i="18"/>
  <c r="D20" i="18"/>
  <c r="B20" i="18"/>
  <c r="E19" i="18"/>
  <c r="D19" i="18"/>
  <c r="B19" i="18"/>
  <c r="E18" i="18"/>
  <c r="D18" i="18"/>
  <c r="B18" i="18"/>
  <c r="E17" i="18"/>
  <c r="D17" i="18"/>
  <c r="B17" i="18"/>
  <c r="E16" i="18"/>
  <c r="D16" i="18"/>
  <c r="B16" i="18"/>
  <c r="E15" i="18"/>
  <c r="D15" i="18"/>
  <c r="B15" i="18"/>
  <c r="E14" i="18"/>
  <c r="D14" i="18"/>
  <c r="B14" i="18"/>
  <c r="E13" i="18"/>
  <c r="D13" i="18"/>
  <c r="B13" i="18"/>
  <c r="E12" i="18"/>
  <c r="D12" i="18"/>
  <c r="B12" i="18"/>
  <c r="E11" i="18"/>
  <c r="D11" i="18"/>
  <c r="B11" i="18"/>
  <c r="E10" i="18"/>
  <c r="D10" i="18"/>
  <c r="B10" i="18"/>
  <c r="E9" i="18"/>
  <c r="D9" i="18"/>
  <c r="B9" i="18"/>
  <c r="E8" i="18"/>
  <c r="D8" i="18"/>
  <c r="B8" i="18"/>
  <c r="E7" i="18"/>
  <c r="D7" i="18"/>
  <c r="B7" i="18"/>
  <c r="E6" i="18"/>
  <c r="D6" i="18"/>
  <c r="B6" i="18"/>
  <c r="E5" i="18"/>
  <c r="D5" i="18"/>
  <c r="B5" i="18"/>
  <c r="E4" i="18"/>
  <c r="D4" i="18"/>
  <c r="B4" i="18"/>
  <c r="E3" i="18"/>
  <c r="D3" i="18"/>
  <c r="B3" i="18"/>
  <c r="T1" i="13" l="1"/>
  <c r="D14" i="17"/>
  <c r="H3" i="17" s="1"/>
  <c r="I4" i="17"/>
  <c r="H4" i="17"/>
  <c r="I3" i="17"/>
  <c r="D17" i="17" l="1"/>
  <c r="D20" i="17" s="1"/>
  <c r="D77" i="2"/>
  <c r="D23" i="17"/>
  <c r="D74" i="2" s="1"/>
  <c r="I5" i="17"/>
  <c r="F41" i="2" l="1"/>
  <c r="G41" i="2" l="1"/>
  <c r="F4" i="12" l="1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3" i="12"/>
  <c r="F38" i="2" l="1"/>
</calcChain>
</file>

<file path=xl/sharedStrings.xml><?xml version="1.0" encoding="utf-8"?>
<sst xmlns="http://schemas.openxmlformats.org/spreadsheetml/2006/main" count="1551" uniqueCount="355">
  <si>
    <t>/</t>
  </si>
  <si>
    <t>* Sets</t>
  </si>
  <si>
    <t>=</t>
  </si>
  <si>
    <t>;</t>
  </si>
  <si>
    <t>* Parameters</t>
  </si>
  <si>
    <t>*</t>
  </si>
  <si>
    <t>c_diesel</t>
  </si>
  <si>
    <t>t</t>
  </si>
  <si>
    <t xml:space="preserve">period of time in hours </t>
  </si>
  <si>
    <t>weeks</t>
  </si>
  <si>
    <t>active_weeks</t>
  </si>
  <si>
    <t>c_pv</t>
  </si>
  <si>
    <t>c_bess_discharge</t>
  </si>
  <si>
    <t>* marginal cost of battery supply [eur/kWh]</t>
  </si>
  <si>
    <t>* marginal cost of PV [eur/kWh]</t>
  </si>
  <si>
    <t>E_diesel</t>
  </si>
  <si>
    <t>* maximum output diesel generation [kW]</t>
  </si>
  <si>
    <t>* quantity customers type A (Residents)</t>
  </si>
  <si>
    <t>q_A</t>
  </si>
  <si>
    <t>* quantity customers type B (Productive Users)</t>
  </si>
  <si>
    <t>q_B</t>
  </si>
  <si>
    <t>p_A</t>
  </si>
  <si>
    <t>p_B</t>
  </si>
  <si>
    <t>p_grid_export</t>
  </si>
  <si>
    <t>SOC_max</t>
  </si>
  <si>
    <t>SOC_min</t>
  </si>
  <si>
    <t>* efficiency of BESS  when discharging  [p.u]</t>
  </si>
  <si>
    <t>* efficiency of  BESS when charging  [p.u]</t>
  </si>
  <si>
    <t>* initial storage capacity [kWh]</t>
  </si>
  <si>
    <t>eta_char_bess</t>
  </si>
  <si>
    <t xml:space="preserve"> eta_disc_bess</t>
  </si>
  <si>
    <t>G_max</t>
  </si>
  <si>
    <t>G_min</t>
  </si>
  <si>
    <t>Economics</t>
  </si>
  <si>
    <t>Technical</t>
  </si>
  <si>
    <t>c_grid_import</t>
  </si>
  <si>
    <t>SOC_ini</t>
  </si>
  <si>
    <t>* Price for Customers of Type A [eur/kWh]</t>
  </si>
  <si>
    <t>* Price for Customers of Type B [eur/kWh]</t>
  </si>
  <si>
    <t>hours</t>
  </si>
  <si>
    <t>(kW)</t>
  </si>
  <si>
    <t>w01</t>
  </si>
  <si>
    <t>w02</t>
  </si>
  <si>
    <t>w03</t>
  </si>
  <si>
    <t>h001</t>
  </si>
  <si>
    <t>h168</t>
  </si>
  <si>
    <t>h504</t>
  </si>
  <si>
    <t>h336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</si>
  <si>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</si>
  <si>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</si>
  <si>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</si>
  <si>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</si>
  <si>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</si>
  <si>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</si>
  <si>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</si>
  <si>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</si>
  <si>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</si>
  <si>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</si>
  <si>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</si>
  <si>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</si>
  <si>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</si>
  <si>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</si>
  <si>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</si>
  <si>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</si>
  <si>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</si>
  <si>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</si>
  <si>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</si>
  <si>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</si>
  <si>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</si>
  <si>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</si>
  <si>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</si>
  <si>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</si>
  <si>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</si>
  <si>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</si>
  <si>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</si>
  <si>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</si>
  <si>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</si>
  <si>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</si>
  <si>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h032</t>
  </si>
  <si>
    <t>h033</t>
  </si>
  <si>
    <t>h034</t>
  </si>
  <si>
    <t>h035</t>
  </si>
  <si>
    <t>h036</t>
  </si>
  <si>
    <t>h037</t>
  </si>
  <si>
    <t>h038</t>
  </si>
  <si>
    <t>h039</t>
  </si>
  <si>
    <t>h040</t>
  </si>
  <si>
    <t>h041</t>
  </si>
  <si>
    <t>h042</t>
  </si>
  <si>
    <t>h043</t>
  </si>
  <si>
    <t>h044</t>
  </si>
  <si>
    <t>h045</t>
  </si>
  <si>
    <t>h046</t>
  </si>
  <si>
    <t>h047</t>
  </si>
  <si>
    <t>h048</t>
  </si>
  <si>
    <t>h049</t>
  </si>
  <si>
    <t>h050</t>
  </si>
  <si>
    <t>h051</t>
  </si>
  <si>
    <t>h052</t>
  </si>
  <si>
    <t>h053</t>
  </si>
  <si>
    <t>h054</t>
  </si>
  <si>
    <t>h055</t>
  </si>
  <si>
    <t>h056</t>
  </si>
  <si>
    <t>h057</t>
  </si>
  <si>
    <t>h058</t>
  </si>
  <si>
    <t>h059</t>
  </si>
  <si>
    <t>h060</t>
  </si>
  <si>
    <t>h061</t>
  </si>
  <si>
    <t>h062</t>
  </si>
  <si>
    <t>h063</t>
  </si>
  <si>
    <t>h064</t>
  </si>
  <si>
    <t>h065</t>
  </si>
  <si>
    <t>h066</t>
  </si>
  <si>
    <t>h067</t>
  </si>
  <si>
    <t>h068</t>
  </si>
  <si>
    <t>h069</t>
  </si>
  <si>
    <t>h070</t>
  </si>
  <si>
    <t>h071</t>
  </si>
  <si>
    <t>h072</t>
  </si>
  <si>
    <t>h073</t>
  </si>
  <si>
    <t>h074</t>
  </si>
  <si>
    <t>h075</t>
  </si>
  <si>
    <t>h076</t>
  </si>
  <si>
    <t>h077</t>
  </si>
  <si>
    <t>h078</t>
  </si>
  <si>
    <t>h079</t>
  </si>
  <si>
    <t>h080</t>
  </si>
  <si>
    <t>h081</t>
  </si>
  <si>
    <t>h082</t>
  </si>
  <si>
    <t>h083</t>
  </si>
  <si>
    <t>h084</t>
  </si>
  <si>
    <t>h085</t>
  </si>
  <si>
    <t>h086</t>
  </si>
  <si>
    <t>h087</t>
  </si>
  <si>
    <t>h088</t>
  </si>
  <si>
    <t>h089</t>
  </si>
  <si>
    <t>h090</t>
  </si>
  <si>
    <t>h091</t>
  </si>
  <si>
    <t>h092</t>
  </si>
  <si>
    <t>h093</t>
  </si>
  <si>
    <t>h094</t>
  </si>
  <si>
    <t>h095</t>
  </si>
  <si>
    <t>h096</t>
  </si>
  <si>
    <t>h097</t>
  </si>
  <si>
    <t>h098</t>
  </si>
  <si>
    <t>h099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</si>
  <si>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</si>
  <si>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</si>
  <si>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</si>
  <si>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</si>
  <si>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</si>
  <si>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</si>
  <si>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</si>
  <si>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</si>
  <si>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</si>
  <si>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</si>
  <si>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</si>
  <si>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</si>
  <si>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</si>
  <si>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</si>
  <si>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</si>
  <si>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</si>
  <si>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</si>
  <si>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</si>
  <si>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</si>
  <si>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</si>
  <si>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</si>
  <si>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</si>
  <si>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</si>
  <si>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</si>
  <si>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</si>
  <si>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</si>
  <si>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</si>
  <si>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</si>
  <si>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</si>
  <si>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</si>
  <si>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</si>
  <si>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</si>
  <si>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</si>
  <si>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</si>
  <si>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</si>
  <si>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</si>
  <si>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</si>
  <si>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</si>
  <si>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</si>
  <si>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</si>
  <si>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</si>
  <si>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</si>
  <si>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</si>
  <si>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</si>
  <si>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</si>
  <si>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</si>
  <si>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</si>
  <si>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</si>
  <si>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</si>
  <si>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</si>
  <si>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</si>
  <si>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</si>
  <si>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</si>
  <si>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</si>
  <si>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</si>
  <si>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</si>
  <si>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</si>
  <si>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</si>
  <si>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</si>
  <si>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</si>
  <si>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</si>
  <si>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</si>
  <si>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</si>
  <si>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</si>
  <si>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</si>
  <si>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</si>
  <si>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</si>
  <si>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</si>
  <si>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it is defined between (0,001 and 0,5)</t>
  </si>
  <si>
    <t>Output power PV(kW)</t>
  </si>
  <si>
    <t>Output power normalized PV(kW)</t>
  </si>
  <si>
    <t>w01_nom</t>
  </si>
  <si>
    <t>w02_nom</t>
  </si>
  <si>
    <t>w03_nom</t>
  </si>
  <si>
    <t>PV Size (kWp)</t>
  </si>
  <si>
    <t xml:space="preserve">Maximum Solar generation PV panel </t>
  </si>
  <si>
    <t>Data source discription</t>
  </si>
  <si>
    <t>Load of clients A</t>
  </si>
  <si>
    <t>self generated with load profil generation excel tool</t>
  </si>
  <si>
    <t>*renumeration of exporting electricity to the grid [eur/kWh]</t>
  </si>
  <si>
    <t>* maximum electricity flow to or from the grid node [kW]</t>
  </si>
  <si>
    <t>*minimum electricity flow to or from the grid node [kW]</t>
  </si>
  <si>
    <t>L_charge</t>
  </si>
  <si>
    <t>L_discharge</t>
  </si>
  <si>
    <t>Input loads are already for total customers, then =1</t>
  </si>
  <si>
    <t>Input loads are already for total customers, then = 1</t>
  </si>
  <si>
    <t>We chose pA&gt;pB&gt;p_grid_export</t>
  </si>
  <si>
    <t>* week considered in the optimization</t>
  </si>
  <si>
    <t>* cost of grid import [eur/kWh]</t>
  </si>
  <si>
    <t>* minimum state of charge [kWh]</t>
  </si>
  <si>
    <t>* maximum state of charge [kWh]</t>
  </si>
  <si>
    <t>usable battery capacity</t>
  </si>
  <si>
    <t>More demand</t>
  </si>
  <si>
    <t>* Lower bound of diesel generator [kW]</t>
  </si>
  <si>
    <t>l_diesel</t>
  </si>
  <si>
    <t>STC_diesel</t>
  </si>
  <si>
    <t>MRT</t>
  </si>
  <si>
    <t>RT</t>
  </si>
  <si>
    <t>b</t>
  </si>
  <si>
    <t>* Intercept coefficient of the fuel curve</t>
  </si>
  <si>
    <t>m</t>
  </si>
  <si>
    <t>eta_diesel</t>
  </si>
  <si>
    <t>sigma</t>
  </si>
  <si>
    <t>E_inv_pv</t>
  </si>
  <si>
    <t>eta_inv</t>
  </si>
  <si>
    <t>E_ir</t>
  </si>
  <si>
    <t>eta_BESS_inv</t>
  </si>
  <si>
    <t>eta_rect</t>
  </si>
  <si>
    <t>* Slope coefficient of the fuel curve [L/hr/kW]</t>
  </si>
  <si>
    <t>* Average efficiency parameter of diesel genset</t>
  </si>
  <si>
    <t>* Nominal power of PV inverter [kW]</t>
  </si>
  <si>
    <t>* Average efficiency of PV inverter</t>
  </si>
  <si>
    <t>* Nominal power of BESS inverter-rectifier [kW]</t>
  </si>
  <si>
    <t>* Average efficiency of BESS inverter</t>
  </si>
  <si>
    <t>* Average efficiency of rectifier</t>
  </si>
  <si>
    <t>week</t>
  </si>
  <si>
    <t xml:space="preserve">* Charge-discharge Limit / storage maximal consumption [kWh] </t>
  </si>
  <si>
    <t xml:space="preserve">* Discharge/Charge  Limit / storage maximal generation [kWh] </t>
  </si>
  <si>
    <t>NREL; Nigieria, Kwara State; rainy Season, July (Not much sun)</t>
  </si>
  <si>
    <t>Load of clients b</t>
  </si>
  <si>
    <t>w04_nom</t>
  </si>
  <si>
    <t>nose</t>
  </si>
  <si>
    <t>w01=nose</t>
  </si>
  <si>
    <t>max. DoD of 70%</t>
  </si>
  <si>
    <t>similar to total peak demand</t>
  </si>
  <si>
    <t xml:space="preserve">should be similar to demand peak sustained for several hours </t>
  </si>
  <si>
    <t>*start up cost for running diesel  [eur/start]</t>
  </si>
  <si>
    <t>*minimum running time once diesel is turned on [hours]</t>
  </si>
  <si>
    <t>* Minimum resting time before turnin diesel on again [hours]</t>
  </si>
  <si>
    <t>estimated at 4% per month (source)</t>
  </si>
  <si>
    <t>* Self-discharge rate of the battery [percent]</t>
  </si>
  <si>
    <t>Above the max power of the battery (be careful if you change battery)</t>
  </si>
  <si>
    <t>F1</t>
  </si>
  <si>
    <t>F2</t>
  </si>
  <si>
    <t>F3</t>
  </si>
  <si>
    <t>F4</t>
  </si>
  <si>
    <t>Grid Works</t>
  </si>
  <si>
    <t>Grid Failing</t>
  </si>
  <si>
    <t>(el color de fondo es automático al poner "cero")</t>
  </si>
  <si>
    <t>F1 is</t>
  </si>
  <si>
    <t>Perfect grid</t>
  </si>
  <si>
    <t>F2 is</t>
  </si>
  <si>
    <t>Some failures</t>
  </si>
  <si>
    <t>F3 is</t>
  </si>
  <si>
    <t>Many failures</t>
  </si>
  <si>
    <t>75% reliability in terms of time (not energy)</t>
  </si>
  <si>
    <t>F4 is</t>
  </si>
  <si>
    <t>Isolated</t>
  </si>
  <si>
    <t>90% reliability in terms of time (not enough power generation)</t>
  </si>
  <si>
    <t xml:space="preserve">  </t>
  </si>
  <si>
    <t>**Diesel Generator Parameters</t>
  </si>
  <si>
    <t>*Generator consumes at full load [L/hr]</t>
  </si>
  <si>
    <t>alpha</t>
  </si>
  <si>
    <t>*Generator consumes at 50% load [L/hr]</t>
  </si>
  <si>
    <t>beta</t>
  </si>
  <si>
    <t>*Size of the Generator [kW]</t>
  </si>
  <si>
    <t xml:space="preserve"> </t>
  </si>
  <si>
    <t>* Generator at 50% Load [kW]</t>
  </si>
  <si>
    <t>*slope [L/hr/kW]</t>
  </si>
  <si>
    <t>*Intercept [L/hr]</t>
  </si>
  <si>
    <t>intercept1</t>
  </si>
  <si>
    <t>*Intercept coefficient of linear fuel curve [L/hr/kw]</t>
  </si>
  <si>
    <t>Output Power [kW]</t>
  </si>
  <si>
    <t>Fuel Consumption [L/hr]</t>
  </si>
  <si>
    <t>Fill out "INPUTS_DieselGenerator" SHEET</t>
  </si>
  <si>
    <t>Copied from parameters sheet</t>
  </si>
  <si>
    <t>Calculated</t>
  </si>
  <si>
    <t>or just write 0=Gmax</t>
  </si>
  <si>
    <t>Monday</t>
  </si>
  <si>
    <t>Night</t>
  </si>
  <si>
    <t>Morning</t>
  </si>
  <si>
    <t>Afternoon</t>
  </si>
  <si>
    <t>Evening</t>
  </si>
  <si>
    <t>Tuesday</t>
  </si>
  <si>
    <t>Wednesday</t>
  </si>
  <si>
    <t>Thursday</t>
  </si>
  <si>
    <t>Friday</t>
  </si>
  <si>
    <t>Saturday</t>
  </si>
  <si>
    <t>Sunday</t>
  </si>
  <si>
    <t>NREL; Nigieria, Kwara State; Dry Season November</t>
  </si>
  <si>
    <t>c_nse</t>
  </si>
  <si>
    <t>* cost of not served energy</t>
  </si>
  <si>
    <t>grid works</t>
  </si>
  <si>
    <t>grid fails</t>
  </si>
  <si>
    <t>1l rinde approximadamente 3 kWh, litre approx. 1 Euro</t>
  </si>
  <si>
    <t>real bat_cap</t>
  </si>
  <si>
    <t>h to full discharge</t>
  </si>
  <si>
    <t>C-Rate</t>
  </si>
  <si>
    <t>max. Discharge power</t>
  </si>
  <si>
    <t>25 okay when assuming a relatavely small LV/MV transformer (30 kVA), and a power factor of ~0.85, I did before rather assume a bigger transformer substation not representing a main constrainte. Therefore I chose 100 kW order to simulate the grid as an quasi-infinite source/consumer when available.</t>
  </si>
  <si>
    <t>* marginal cost of diesel (FUEL COST) [eur/l]</t>
  </si>
  <si>
    <t>efficiency</t>
  </si>
  <si>
    <t>density of diesel kg/m3</t>
  </si>
  <si>
    <t>Blog :: Diesel Generator Fuel Consumption Chart in Litres (ablesales.com.au)</t>
  </si>
  <si>
    <t>Source:</t>
  </si>
  <si>
    <r>
      <rPr>
        <sz val="11"/>
        <color rgb="FFFF0000"/>
        <rFont val="Calibri"/>
        <family val="2"/>
        <scheme val="minor"/>
      </rPr>
      <t>1 eu</t>
    </r>
    <r>
      <rPr>
        <sz val="11"/>
        <color theme="1"/>
        <rFont val="Calibri"/>
        <family val="2"/>
        <scheme val="minor"/>
      </rPr>
      <t>r</t>
    </r>
  </si>
  <si>
    <t xml:space="preserve">0.2 clientes de tipo B no se cubren , with 0.14 sometimes B are served, and sometimes not. </t>
  </si>
  <si>
    <t>A</t>
  </si>
  <si>
    <t>B</t>
  </si>
  <si>
    <t>w01_new</t>
  </si>
  <si>
    <t>reliab_b</t>
  </si>
  <si>
    <t>subset period of time in hours</t>
  </si>
  <si>
    <t>t2(t)</t>
  </si>
  <si>
    <t>t3(t)</t>
  </si>
  <si>
    <t>* Shortage level for customer b</t>
  </si>
  <si>
    <t>don#t move</t>
  </si>
  <si>
    <t>dont write</t>
  </si>
  <si>
    <t xml:space="preserve"> choose (1=dry season , 2=rainy season) / don't write</t>
  </si>
  <si>
    <t>its not being used in the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</si>
</sst>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0000"/>
    <numFmt numFmtId="166" formatCode="0.000000"/>
    <numFmt numFmtId="167" formatCode="0.00000000000000"/>
  </numFmts>
  <fonts count="27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rgb="FF0000FF"/>
      <name val="Calibri"/>
      <family val="2"/>
      <scheme val="minor"/>
    </font>
    <font>
      <sz val="11"/>
      <color rgb="FF80808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C4BD9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67">
    <xf numFmtId="0" fontId="0" fillId="0" borderId="0" xfId="0"/>
    <xf numFmtId="0" fontId="0" fillId="2" borderId="0" xfId="0" applyFill="1"/>
    <xf numFmtId="1" fontId="1" fillId="2" borderId="4" xfId="0" applyNumberFormat="1" applyFont="1" applyFill="1" applyBorder="1" applyProtection="1">
      <protection locked="0"/>
    </xf>
    <xf numFmtId="1" fontId="1" fillId="2" borderId="0" xfId="0" applyNumberFormat="1" applyFont="1" applyFill="1" applyBorder="1" applyProtection="1">
      <protection locked="0"/>
    </xf>
    <xf numFmtId="1" fontId="1" fillId="2" borderId="5" xfId="0" applyNumberFormat="1" applyFont="1" applyFill="1" applyBorder="1" applyProtection="1">
      <protection locked="0"/>
    </xf>
    <xf numFmtId="1" fontId="3" fillId="2" borderId="0" xfId="0" applyNumberFormat="1" applyFont="1" applyFill="1" applyBorder="1" applyProtection="1">
      <protection locked="0"/>
    </xf>
    <xf numFmtId="1" fontId="1" fillId="2" borderId="5" xfId="0" applyNumberFormat="1" applyFont="1" applyFill="1" applyBorder="1" applyAlignment="1" applyProtection="1">
      <alignment horizontal="center"/>
      <protection locked="0"/>
    </xf>
    <xf numFmtId="1" fontId="3" fillId="2" borderId="4" xfId="0" applyNumberFormat="1" applyFont="1" applyFill="1" applyBorder="1" applyProtection="1">
      <protection locked="0"/>
    </xf>
    <xf numFmtId="1" fontId="3" fillId="2" borderId="0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Border="1"/>
    <xf numFmtId="0" fontId="0" fillId="2" borderId="0" xfId="0" applyFill="1" applyAlignment="1">
      <alignment horizontal="left"/>
    </xf>
    <xf numFmtId="1" fontId="1" fillId="2" borderId="0" xfId="0" applyNumberFormat="1" applyFont="1" applyFill="1" applyBorder="1" applyAlignment="1" applyProtection="1">
      <alignment horizontal="left"/>
      <protection locked="0"/>
    </xf>
    <xf numFmtId="0" fontId="0" fillId="2" borderId="0" xfId="0" applyFill="1" applyBorder="1" applyAlignment="1">
      <alignment horizontal="left"/>
    </xf>
    <xf numFmtId="0" fontId="0" fillId="2" borderId="4" xfId="0" applyFill="1" applyBorder="1"/>
    <xf numFmtId="0" fontId="0" fillId="2" borderId="5" xfId="0" applyFill="1" applyBorder="1"/>
    <xf numFmtId="0" fontId="1" fillId="3" borderId="4" xfId="0" applyFont="1" applyFill="1" applyBorder="1" applyAlignment="1" applyProtection="1">
      <alignment horizontal="center" vertical="center"/>
    </xf>
    <xf numFmtId="2" fontId="1" fillId="2" borderId="0" xfId="0" applyNumberFormat="1" applyFont="1" applyFill="1" applyBorder="1" applyAlignment="1" applyProtection="1">
      <alignment horizontal="center"/>
      <protection locked="0"/>
    </xf>
    <xf numFmtId="2" fontId="1" fillId="2" borderId="0" xfId="0" applyNumberFormat="1" applyFont="1" applyFill="1" applyBorder="1" applyProtection="1">
      <protection locked="0"/>
    </xf>
    <xf numFmtId="0" fontId="5" fillId="2" borderId="0" xfId="0" applyFont="1" applyFill="1"/>
    <xf numFmtId="0" fontId="0" fillId="2" borderId="0" xfId="0" applyFont="1" applyFill="1"/>
    <xf numFmtId="1" fontId="1" fillId="4" borderId="0" xfId="0" applyNumberFormat="1" applyFont="1" applyFill="1" applyBorder="1" applyAlignment="1" applyProtection="1">
      <alignment horizontal="center"/>
      <protection locked="0"/>
    </xf>
    <xf numFmtId="2" fontId="1" fillId="4" borderId="0" xfId="0" applyNumberFormat="1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Border="1" applyAlignment="1" applyProtection="1">
      <alignment horizontal="center"/>
      <protection locked="0"/>
    </xf>
    <xf numFmtId="1" fontId="8" fillId="2" borderId="4" xfId="0" applyNumberFormat="1" applyFont="1" applyFill="1" applyBorder="1" applyProtection="1">
      <protection locked="0"/>
    </xf>
    <xf numFmtId="0" fontId="4" fillId="0" borderId="0" xfId="0" applyFont="1"/>
    <xf numFmtId="0" fontId="4" fillId="6" borderId="4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9" fillId="7" borderId="9" xfId="0" applyFont="1" applyFill="1" applyBorder="1" applyAlignment="1">
      <alignment vertical="center"/>
    </xf>
    <xf numFmtId="0" fontId="4" fillId="6" borderId="0" xfId="0" applyFont="1" applyFill="1"/>
    <xf numFmtId="0" fontId="10" fillId="0" borderId="0" xfId="0" applyFont="1" applyAlignment="1">
      <alignment horizontal="center" wrapText="1"/>
    </xf>
    <xf numFmtId="0" fontId="4" fillId="8" borderId="10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/>
    </xf>
    <xf numFmtId="2" fontId="0" fillId="8" borderId="4" xfId="0" applyNumberFormat="1" applyFill="1" applyBorder="1" applyAlignment="1">
      <alignment horizontal="center"/>
    </xf>
    <xf numFmtId="2" fontId="0" fillId="8" borderId="0" xfId="0" applyNumberFormat="1" applyFill="1" applyBorder="1" applyAlignment="1">
      <alignment horizontal="center"/>
    </xf>
    <xf numFmtId="2" fontId="0" fillId="8" borderId="5" xfId="0" applyNumberFormat="1" applyFill="1" applyBorder="1" applyAlignment="1">
      <alignment horizontal="center"/>
    </xf>
    <xf numFmtId="2" fontId="0" fillId="8" borderId="6" xfId="0" applyNumberFormat="1" applyFill="1" applyBorder="1" applyAlignment="1">
      <alignment horizontal="center"/>
    </xf>
    <xf numFmtId="2" fontId="0" fillId="8" borderId="7" xfId="0" applyNumberFormat="1" applyFill="1" applyBorder="1" applyAlignment="1">
      <alignment horizontal="center"/>
    </xf>
    <xf numFmtId="2" fontId="0" fillId="8" borderId="8" xfId="0" applyNumberFormat="1" applyFill="1" applyBorder="1" applyAlignment="1">
      <alignment horizontal="center"/>
    </xf>
    <xf numFmtId="1" fontId="6" fillId="9" borderId="1" xfId="0" applyNumberFormat="1" applyFont="1" applyFill="1" applyBorder="1" applyProtection="1">
      <protection locked="0"/>
    </xf>
    <xf numFmtId="1" fontId="1" fillId="9" borderId="2" xfId="0" applyNumberFormat="1" applyFont="1" applyFill="1" applyBorder="1" applyProtection="1">
      <protection locked="0"/>
    </xf>
    <xf numFmtId="1" fontId="1" fillId="9" borderId="3" xfId="0" applyNumberFormat="1" applyFont="1" applyFill="1" applyBorder="1" applyAlignment="1" applyProtection="1">
      <alignment horizontal="center"/>
      <protection locked="0"/>
    </xf>
    <xf numFmtId="1" fontId="1" fillId="9" borderId="2" xfId="0" applyNumberFormat="1" applyFont="1" applyFill="1" applyBorder="1" applyAlignment="1" applyProtection="1">
      <alignment horizontal="left"/>
      <protection locked="0"/>
    </xf>
    <xf numFmtId="1" fontId="1" fillId="9" borderId="3" xfId="0" applyNumberFormat="1" applyFont="1" applyFill="1" applyBorder="1" applyProtection="1">
      <protection locked="0"/>
    </xf>
    <xf numFmtId="1" fontId="12" fillId="2" borderId="4" xfId="0" applyNumberFormat="1" applyFont="1" applyFill="1" applyBorder="1" applyProtection="1">
      <protection locked="0"/>
    </xf>
    <xf numFmtId="0" fontId="5" fillId="10" borderId="0" xfId="0" applyFont="1" applyFill="1"/>
    <xf numFmtId="0" fontId="11" fillId="10" borderId="0" xfId="0" applyFont="1" applyFill="1"/>
    <xf numFmtId="0" fontId="0" fillId="10" borderId="0" xfId="0" applyFill="1"/>
    <xf numFmtId="1" fontId="5" fillId="2" borderId="0" xfId="0" applyNumberFormat="1" applyFont="1" applyFill="1"/>
    <xf numFmtId="165" fontId="0" fillId="0" borderId="4" xfId="0" applyNumberFormat="1" applyBorder="1" applyAlignment="1">
      <alignment horizontal="center"/>
    </xf>
    <xf numFmtId="165" fontId="0" fillId="2" borderId="0" xfId="0" applyNumberFormat="1" applyFill="1"/>
    <xf numFmtId="166" fontId="1" fillId="4" borderId="0" xfId="0" applyNumberFormat="1" applyFont="1" applyFill="1" applyBorder="1" applyAlignment="1" applyProtection="1">
      <alignment horizontal="center"/>
      <protection locked="0"/>
    </xf>
    <xf numFmtId="1" fontId="13" fillId="2" borderId="4" xfId="0" applyNumberFormat="1" applyFont="1" applyFill="1" applyBorder="1" applyProtection="1">
      <protection locked="0"/>
    </xf>
    <xf numFmtId="0" fontId="14" fillId="2" borderId="0" xfId="0" applyFont="1" applyFill="1"/>
    <xf numFmtId="1" fontId="1" fillId="11" borderId="0" xfId="0" applyNumberFormat="1" applyFont="1" applyFill="1" applyBorder="1" applyAlignment="1" applyProtection="1">
      <alignment horizontal="center"/>
      <protection locked="0"/>
    </xf>
    <xf numFmtId="0" fontId="0" fillId="4" borderId="0" xfId="0" applyFill="1"/>
    <xf numFmtId="0" fontId="5" fillId="11" borderId="0" xfId="0" applyFont="1" applyFill="1"/>
    <xf numFmtId="0" fontId="0" fillId="2" borderId="14" xfId="0" applyFill="1" applyBorder="1"/>
    <xf numFmtId="0" fontId="0" fillId="10" borderId="0" xfId="0" applyFill="1" applyBorder="1"/>
    <xf numFmtId="0" fontId="0" fillId="10" borderId="14" xfId="0" applyFill="1" applyBorder="1"/>
    <xf numFmtId="2" fontId="0" fillId="2" borderId="0" xfId="0" applyNumberFormat="1" applyFill="1"/>
    <xf numFmtId="0" fontId="7" fillId="2" borderId="4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2" borderId="0" xfId="0" applyFont="1" applyFill="1"/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4" fillId="2" borderId="0" xfId="0" applyFont="1" applyFill="1"/>
    <xf numFmtId="164" fontId="4" fillId="6" borderId="4" xfId="0" applyNumberFormat="1" applyFont="1" applyFill="1" applyBorder="1" applyAlignment="1">
      <alignment horizontal="center"/>
    </xf>
    <xf numFmtId="164" fontId="0" fillId="8" borderId="5" xfId="0" applyNumberFormat="1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8" borderId="6" xfId="0" applyNumberFormat="1" applyFill="1" applyBorder="1" applyAlignment="1">
      <alignment horizontal="center"/>
    </xf>
    <xf numFmtId="164" fontId="0" fillId="8" borderId="7" xfId="0" applyNumberFormat="1" applyFill="1" applyBorder="1" applyAlignment="1">
      <alignment horizontal="center"/>
    </xf>
    <xf numFmtId="164" fontId="0" fillId="8" borderId="8" xfId="0" applyNumberFormat="1" applyFill="1" applyBorder="1" applyAlignment="1">
      <alignment horizontal="center"/>
    </xf>
    <xf numFmtId="164" fontId="4" fillId="2" borderId="0" xfId="0" applyNumberFormat="1" applyFont="1" applyFill="1" applyAlignment="1">
      <alignment horizontal="center"/>
    </xf>
    <xf numFmtId="164" fontId="0" fillId="8" borderId="0" xfId="0" applyNumberFormat="1" applyFill="1" applyAlignment="1">
      <alignment horizontal="center"/>
    </xf>
    <xf numFmtId="2" fontId="1" fillId="3" borderId="4" xfId="0" applyNumberFormat="1" applyFont="1" applyFill="1" applyBorder="1" applyAlignment="1" applyProtection="1">
      <alignment horizontal="center" vertical="center"/>
    </xf>
    <xf numFmtId="1" fontId="2" fillId="2" borderId="4" xfId="0" applyNumberFormat="1" applyFont="1" applyFill="1" applyBorder="1" applyProtection="1">
      <protection locked="0"/>
    </xf>
    <xf numFmtId="0" fontId="0" fillId="2" borderId="15" xfId="0" applyFill="1" applyBorder="1"/>
    <xf numFmtId="0" fontId="0" fillId="4" borderId="15" xfId="0" applyFill="1" applyBorder="1"/>
    <xf numFmtId="0" fontId="0" fillId="0" borderId="15" xfId="0" applyBorder="1"/>
    <xf numFmtId="0" fontId="0" fillId="12" borderId="15" xfId="0" applyFill="1" applyBorder="1"/>
    <xf numFmtId="0" fontId="0" fillId="12" borderId="0" xfId="0" applyFill="1"/>
    <xf numFmtId="0" fontId="6" fillId="13" borderId="1" xfId="0" applyFont="1" applyFill="1" applyBorder="1"/>
    <xf numFmtId="0" fontId="1" fillId="14" borderId="3" xfId="0" applyFont="1" applyFill="1" applyBorder="1" applyAlignment="1">
      <alignment horizontal="center"/>
    </xf>
    <xf numFmtId="0" fontId="1" fillId="15" borderId="4" xfId="0" applyFont="1" applyFill="1" applyBorder="1"/>
    <xf numFmtId="0" fontId="1" fillId="15" borderId="0" xfId="0" applyFont="1" applyFill="1"/>
    <xf numFmtId="0" fontId="1" fillId="15" borderId="5" xfId="0" applyFont="1" applyFill="1" applyBorder="1" applyAlignment="1">
      <alignment horizontal="center"/>
    </xf>
    <xf numFmtId="0" fontId="13" fillId="15" borderId="4" xfId="0" applyFont="1" applyFill="1" applyBorder="1"/>
    <xf numFmtId="0" fontId="1" fillId="16" borderId="0" xfId="0" applyFont="1" applyFill="1" applyAlignment="1">
      <alignment horizontal="center"/>
    </xf>
    <xf numFmtId="0" fontId="17" fillId="15" borderId="4" xfId="0" applyFont="1" applyFill="1" applyBorder="1"/>
    <xf numFmtId="0" fontId="17" fillId="15" borderId="5" xfId="0" applyFont="1" applyFill="1" applyBorder="1"/>
    <xf numFmtId="0" fontId="17" fillId="0" borderId="5" xfId="0" applyFont="1" applyBorder="1"/>
    <xf numFmtId="0" fontId="1" fillId="17" borderId="0" xfId="0" applyFont="1" applyFill="1" applyAlignment="1">
      <alignment horizontal="center"/>
    </xf>
    <xf numFmtId="0" fontId="1" fillId="17" borderId="0" xfId="0" applyFont="1" applyFill="1"/>
    <xf numFmtId="0" fontId="1" fillId="15" borderId="6" xfId="0" applyFont="1" applyFill="1" applyBorder="1"/>
    <xf numFmtId="0" fontId="1" fillId="15" borderId="8" xfId="0" applyFont="1" applyFill="1" applyBorder="1" applyAlignment="1">
      <alignment horizontal="center"/>
    </xf>
    <xf numFmtId="0" fontId="6" fillId="13" borderId="11" xfId="0" applyFont="1" applyFill="1" applyBorder="1"/>
    <xf numFmtId="0" fontId="17" fillId="18" borderId="4" xfId="0" applyFont="1" applyFill="1" applyBorder="1"/>
    <xf numFmtId="0" fontId="17" fillId="18" borderId="12" xfId="0" applyFont="1" applyFill="1" applyBorder="1"/>
    <xf numFmtId="0" fontId="17" fillId="18" borderId="6" xfId="0" applyFont="1" applyFill="1" applyBorder="1"/>
    <xf numFmtId="0" fontId="17" fillId="18" borderId="13" xfId="0" applyFont="1" applyFill="1" applyBorder="1"/>
    <xf numFmtId="0" fontId="18" fillId="15" borderId="0" xfId="0" applyFont="1" applyFill="1"/>
    <xf numFmtId="0" fontId="19" fillId="0" borderId="0" xfId="0" applyFont="1"/>
    <xf numFmtId="2" fontId="1" fillId="7" borderId="0" xfId="0" applyNumberFormat="1" applyFont="1" applyFill="1" applyBorder="1" applyAlignment="1" applyProtection="1">
      <alignment horizontal="center"/>
      <protection locked="0"/>
    </xf>
    <xf numFmtId="164" fontId="1" fillId="7" borderId="0" xfId="0" applyNumberFormat="1" applyFont="1" applyFill="1" applyBorder="1" applyAlignment="1" applyProtection="1">
      <alignment horizontal="center"/>
      <protection locked="0"/>
    </xf>
    <xf numFmtId="1" fontId="13" fillId="2" borderId="15" xfId="0" applyNumberFormat="1" applyFont="1" applyFill="1" applyBorder="1" applyProtection="1">
      <protection locked="0"/>
    </xf>
    <xf numFmtId="1" fontId="2" fillId="2" borderId="15" xfId="0" applyNumberFormat="1" applyFont="1" applyFill="1" applyBorder="1" applyProtection="1">
      <protection locked="0"/>
    </xf>
    <xf numFmtId="0" fontId="0" fillId="5" borderId="15" xfId="0" applyFill="1" applyBorder="1"/>
    <xf numFmtId="0" fontId="0" fillId="19" borderId="16" xfId="0" applyFill="1" applyBorder="1"/>
    <xf numFmtId="0" fontId="0" fillId="19" borderId="17" xfId="0" applyFill="1" applyBorder="1"/>
    <xf numFmtId="0" fontId="0" fillId="19" borderId="18" xfId="0" applyFill="1" applyBorder="1"/>
    <xf numFmtId="0" fontId="0" fillId="12" borderId="16" xfId="0" applyFill="1" applyBorder="1"/>
    <xf numFmtId="0" fontId="1" fillId="3" borderId="0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4" fillId="6" borderId="4" xfId="0" applyFont="1" applyFill="1" applyBorder="1"/>
    <xf numFmtId="164" fontId="4" fillId="6" borderId="0" xfId="0" applyNumberFormat="1" applyFont="1" applyFill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2" borderId="0" xfId="0" applyFon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20" borderId="15" xfId="0" applyFill="1" applyBorder="1"/>
    <xf numFmtId="0" fontId="4" fillId="4" borderId="0" xfId="0" applyFont="1" applyFill="1"/>
    <xf numFmtId="0" fontId="0" fillId="20" borderId="0" xfId="0" applyFill="1"/>
    <xf numFmtId="0" fontId="0" fillId="2" borderId="0" xfId="0" applyFill="1" applyAlignment="1">
      <alignment horizontal="center"/>
    </xf>
    <xf numFmtId="0" fontId="20" fillId="2" borderId="0" xfId="0" applyFont="1" applyFill="1"/>
    <xf numFmtId="0" fontId="20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2" fontId="5" fillId="11" borderId="0" xfId="0" applyNumberFormat="1" applyFont="1" applyFill="1" applyAlignment="1">
      <alignment horizontal="center"/>
    </xf>
    <xf numFmtId="1" fontId="5" fillId="11" borderId="0" xfId="0" applyNumberFormat="1" applyFont="1" applyFill="1" applyAlignment="1">
      <alignment horizontal="center"/>
    </xf>
    <xf numFmtId="0" fontId="21" fillId="0" borderId="0" xfId="1"/>
    <xf numFmtId="0" fontId="23" fillId="2" borderId="0" xfId="0" applyFont="1" applyFill="1"/>
    <xf numFmtId="2" fontId="1" fillId="17" borderId="0" xfId="0" applyNumberFormat="1" applyFont="1" applyFill="1"/>
    <xf numFmtId="0" fontId="0" fillId="2" borderId="0" xfId="0" applyFill="1" applyAlignment="1">
      <alignment horizontal="center"/>
    </xf>
    <xf numFmtId="164" fontId="0" fillId="2" borderId="0" xfId="0" applyNumberFormat="1" applyFill="1"/>
    <xf numFmtId="167" fontId="0" fillId="2" borderId="0" xfId="0" applyNumberFormat="1" applyFill="1"/>
    <xf numFmtId="0" fontId="0" fillId="2" borderId="4" xfId="0" applyFill="1" applyBorder="1" applyAlignment="1">
      <alignment horizontal="left" wrapText="1"/>
    </xf>
    <xf numFmtId="0" fontId="0" fillId="2" borderId="0" xfId="0" applyFill="1" applyAlignment="1">
      <alignment horizontal="left" wrapText="1"/>
    </xf>
    <xf numFmtId="0" fontId="0" fillId="8" borderId="7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9" fillId="7" borderId="1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left" vertical="center"/>
    </xf>
    <xf numFmtId="0" fontId="9" fillId="7" borderId="3" xfId="0" applyFont="1" applyFill="1" applyBorder="1" applyAlignment="1">
      <alignment horizontal="left" vertical="center"/>
    </xf>
    <xf numFmtId="0" fontId="0" fillId="8" borderId="0" xfId="0" applyFill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0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1" fillId="15" borderId="0" xfId="0" applyFont="1" applyFill="1"/>
    <xf numFmtId="0" fontId="1" fillId="14" borderId="2" xfId="0" applyFont="1" applyFill="1" applyBorder="1"/>
    <xf numFmtId="0" fontId="17" fillId="0" borderId="0" xfId="0" applyFont="1"/>
    <xf numFmtId="0" fontId="1" fillId="15" borderId="7" xfId="0" applyFont="1" applyFill="1" applyBorder="1"/>
    <xf numFmtId="1" fontId="25" fillId="2" borderId="4" xfId="0" applyNumberFormat="1" applyFont="1" applyFill="1" applyBorder="1" applyProtection="1">
      <protection locked="0"/>
    </xf>
    <xf numFmtId="1" fontId="25" fillId="2" borderId="0" xfId="0" applyNumberFormat="1" applyFont="1" applyFill="1" applyBorder="1" applyProtection="1">
      <protection locked="0"/>
    </xf>
    <xf numFmtId="0" fontId="24" fillId="2" borderId="0" xfId="0" applyFont="1" applyFill="1" applyBorder="1" applyAlignment="1">
      <alignment horizontal="left"/>
    </xf>
    <xf numFmtId="0" fontId="24" fillId="2" borderId="5" xfId="0" applyFont="1" applyFill="1" applyBorder="1"/>
    <xf numFmtId="1" fontId="25" fillId="2" borderId="6" xfId="0" applyNumberFormat="1" applyFont="1" applyFill="1" applyBorder="1" applyProtection="1">
      <protection locked="0"/>
    </xf>
    <xf numFmtId="1" fontId="25" fillId="2" borderId="7" xfId="0" applyNumberFormat="1" applyFont="1" applyFill="1" applyBorder="1" applyProtection="1">
      <protection locked="0"/>
    </xf>
    <xf numFmtId="1" fontId="25" fillId="2" borderId="7" xfId="0" applyNumberFormat="1" applyFont="1" applyFill="1" applyBorder="1" applyAlignment="1" applyProtection="1">
      <alignment horizontal="left"/>
      <protection locked="0"/>
    </xf>
    <xf numFmtId="1" fontId="26" fillId="2" borderId="7" xfId="0" applyNumberFormat="1" applyFont="1" applyFill="1" applyBorder="1" applyAlignment="1" applyProtection="1">
      <alignment horizontal="left"/>
      <protection locked="0"/>
    </xf>
    <xf numFmtId="1" fontId="25" fillId="2" borderId="8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FF99"/>
      <color rgb="FF0000F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fr-FR" sz="1600" b="1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rPr>
              <a:t>Generation MG</a:t>
            </a:r>
          </a:p>
          <a:p>
            <a:pPr algn="ctr" rtl="0">
              <a:defRPr lang="fr-FR" sz="1600" b="1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1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rPr>
              <a:t>week</a:t>
            </a:r>
          </a:p>
        </c:rich>
      </c:tx>
      <c:layout>
        <c:manualLayout>
          <c:xMode val="edge"/>
          <c:yMode val="edge"/>
          <c:x val="0.47449172327745709"/>
          <c:y val="3.36788643380870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fr-FR" sz="1600" b="1" i="0" u="none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v>PV_output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</c:numLit>
          </c:cat>
          <c:val>
            <c:numLit>
              <c:formatCode>General</c:formatCode>
              <c:ptCount val="16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27.222000000000001</c:v>
              </c:pt>
              <c:pt idx="8">
                <c:v>30</c:v>
              </c:pt>
              <c:pt idx="9">
                <c:v>10.325508398656217</c:v>
              </c:pt>
              <c:pt idx="10">
                <c:v>9.9265083986562157</c:v>
              </c:pt>
              <c:pt idx="11">
                <c:v>12.869508398656217</c:v>
              </c:pt>
              <c:pt idx="12">
                <c:v>5.4095083986562154</c:v>
              </c:pt>
              <c:pt idx="13">
                <c:v>15.03458395212736</c:v>
              </c:pt>
              <c:pt idx="14">
                <c:v>30</c:v>
              </c:pt>
              <c:pt idx="15">
                <c:v>30</c:v>
              </c:pt>
              <c:pt idx="16">
                <c:v>30</c:v>
              </c:pt>
              <c:pt idx="17">
                <c:v>29.722000000000001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30</c:v>
              </c:pt>
              <c:pt idx="32">
                <c:v>1.7995083986562157</c:v>
              </c:pt>
              <c:pt idx="33">
                <c:v>6.9185083986562148</c:v>
              </c:pt>
              <c:pt idx="34">
                <c:v>6.4055083986562158</c:v>
              </c:pt>
              <c:pt idx="35">
                <c:v>9.5554664679948633</c:v>
              </c:pt>
              <c:pt idx="36">
                <c:v>30</c:v>
              </c:pt>
              <c:pt idx="37">
                <c:v>30</c:v>
              </c:pt>
              <c:pt idx="38">
                <c:v>30</c:v>
              </c:pt>
              <c:pt idx="39">
                <c:v>30</c:v>
              </c:pt>
              <c:pt idx="40">
                <c:v>30</c:v>
              </c:pt>
              <c:pt idx="41">
                <c:v>30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30</c:v>
              </c:pt>
              <c:pt idx="56">
                <c:v>2.3635083986562151</c:v>
              </c:pt>
              <c:pt idx="57">
                <c:v>9.5725083986562165</c:v>
              </c:pt>
              <c:pt idx="58">
                <c:v>10.371508398656216</c:v>
              </c:pt>
              <c:pt idx="59">
                <c:v>13.895508398656217</c:v>
              </c:pt>
              <c:pt idx="60">
                <c:v>30</c:v>
              </c:pt>
              <c:pt idx="61">
                <c:v>29.967710168886889</c:v>
              </c:pt>
              <c:pt idx="62">
                <c:v>30</c:v>
              </c:pt>
              <c:pt idx="63">
                <c:v>30</c:v>
              </c:pt>
              <c:pt idx="64">
                <c:v>30</c:v>
              </c:pt>
              <c:pt idx="65">
                <c:v>30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30</c:v>
              </c:pt>
              <c:pt idx="80">
                <c:v>30</c:v>
              </c:pt>
              <c:pt idx="81">
                <c:v>6.2965083986562149</c:v>
              </c:pt>
              <c:pt idx="82">
                <c:v>14.245508398656217</c:v>
              </c:pt>
              <c:pt idx="83">
                <c:v>10.680508398656217</c:v>
              </c:pt>
              <c:pt idx="84">
                <c:v>3.8055083986562153</c:v>
              </c:pt>
              <c:pt idx="85">
                <c:v>6.5575083986562159</c:v>
              </c:pt>
              <c:pt idx="86">
                <c:v>15.322162074985703</c:v>
              </c:pt>
              <c:pt idx="87">
                <c:v>30</c:v>
              </c:pt>
              <c:pt idx="88">
                <c:v>30</c:v>
              </c:pt>
              <c:pt idx="89">
                <c:v>30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1.3475083986562155</c:v>
              </c:pt>
              <c:pt idx="104">
                <c:v>2.1025083986562154</c:v>
              </c:pt>
              <c:pt idx="105">
                <c:v>7.8505083986562161</c:v>
              </c:pt>
              <c:pt idx="106">
                <c:v>8.6985083986562159</c:v>
              </c:pt>
              <c:pt idx="107">
                <c:v>7.7105083986562155</c:v>
              </c:pt>
              <c:pt idx="108">
                <c:v>30</c:v>
              </c:pt>
              <c:pt idx="109">
                <c:v>30</c:v>
              </c:pt>
              <c:pt idx="110">
                <c:v>9.3411066244644179</c:v>
              </c:pt>
              <c:pt idx="111">
                <c:v>30</c:v>
              </c:pt>
              <c:pt idx="112">
                <c:v>30</c:v>
              </c:pt>
              <c:pt idx="113">
                <c:v>30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30</c:v>
              </c:pt>
              <c:pt idx="128">
                <c:v>30</c:v>
              </c:pt>
              <c:pt idx="129">
                <c:v>6.1445083986562148</c:v>
              </c:pt>
              <c:pt idx="130">
                <c:v>9.5325083986562156</c:v>
              </c:pt>
              <c:pt idx="131">
                <c:v>7.1305083986562154</c:v>
              </c:pt>
              <c:pt idx="132">
                <c:v>19.387422633196387</c:v>
              </c:pt>
              <c:pt idx="133">
                <c:v>30</c:v>
              </c:pt>
              <c:pt idx="134">
                <c:v>30</c:v>
              </c:pt>
              <c:pt idx="135">
                <c:v>30</c:v>
              </c:pt>
              <c:pt idx="136">
                <c:v>30</c:v>
              </c:pt>
              <c:pt idx="137">
                <c:v>30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1.3725083986562157</c:v>
              </c:pt>
              <c:pt idx="152">
                <c:v>1.6345083986562154</c:v>
              </c:pt>
              <c:pt idx="153">
                <c:v>6.0715083986562153</c:v>
              </c:pt>
              <c:pt idx="154">
                <c:v>10.685508398656216</c:v>
              </c:pt>
              <c:pt idx="155">
                <c:v>6.5715083986562153</c:v>
              </c:pt>
              <c:pt idx="156">
                <c:v>1.3975083986562156</c:v>
              </c:pt>
              <c:pt idx="157">
                <c:v>3.884508398656215</c:v>
              </c:pt>
              <c:pt idx="158">
                <c:v>9.9052529186181619</c:v>
              </c:pt>
              <c:pt idx="159">
                <c:v>30</c:v>
              </c:pt>
              <c:pt idx="160">
                <c:v>30</c:v>
              </c:pt>
              <c:pt idx="161">
                <c:v>30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6EB-40F4-84DD-69589638A6F1}"/>
            </c:ext>
          </c:extLst>
        </c:ser>
        <c:ser>
          <c:idx val="2"/>
          <c:order val="1"/>
          <c:tx>
            <c:v>Diesel_output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</c:numLit>
          </c:cat>
          <c:val>
            <c:numLit>
              <c:formatCode>General</c:formatCode>
              <c:ptCount val="16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EB-40F4-84DD-69589638A6F1}"/>
            </c:ext>
          </c:extLst>
        </c:ser>
        <c:ser>
          <c:idx val="4"/>
          <c:order val="3"/>
          <c:tx>
            <c:v>Bat_discharge</c:v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</c:numLit>
          </c:cat>
          <c:val>
            <c:numLit>
              <c:formatCode>General</c:formatCode>
              <c:ptCount val="168"/>
              <c:pt idx="0">
                <c:v>-3.2511111111111113</c:v>
              </c:pt>
              <c:pt idx="1">
                <c:v>-2.3311111111111109</c:v>
              </c:pt>
              <c:pt idx="2">
                <c:v>-3.4311111111111114</c:v>
              </c:pt>
              <c:pt idx="3">
                <c:v>-0.96806463064908854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-9.3400000000000016</c:v>
              </c:pt>
              <c:pt idx="19">
                <c:v>-5.5711111111111116</c:v>
              </c:pt>
              <c:pt idx="20">
                <c:v>-14.595555555555555</c:v>
              </c:pt>
              <c:pt idx="21">
                <c:v>-14.858888888888888</c:v>
              </c:pt>
              <c:pt idx="22">
                <c:v>-4.91</c:v>
              </c:pt>
              <c:pt idx="23">
                <c:v>-4.5577777777777779</c:v>
              </c:pt>
              <c:pt idx="24">
                <c:v>-4.0766666666666662</c:v>
              </c:pt>
              <c:pt idx="25">
                <c:v>-2.0360288889774907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-0.53712125754164219</c:v>
              </c:pt>
              <c:pt idx="40">
                <c:v>0</c:v>
              </c:pt>
              <c:pt idx="41">
                <c:v>0</c:v>
              </c:pt>
              <c:pt idx="42">
                <c:v>-5.1811111111111119</c:v>
              </c:pt>
              <c:pt idx="43">
                <c:v>-3.9788888888888891</c:v>
              </c:pt>
              <c:pt idx="44">
                <c:v>-10.92</c:v>
              </c:pt>
              <c:pt idx="45">
                <c:v>-7.3344444444444443</c:v>
              </c:pt>
              <c:pt idx="46">
                <c:v>-3.6511111111111112</c:v>
              </c:pt>
              <c:pt idx="47">
                <c:v>-4.6866666666666665</c:v>
              </c:pt>
              <c:pt idx="48">
                <c:v>-4.5366666666666671</c:v>
              </c:pt>
              <c:pt idx="49">
                <c:v>-2.4622222222222225</c:v>
              </c:pt>
              <c:pt idx="50">
                <c:v>-2.6233333333333331</c:v>
              </c:pt>
              <c:pt idx="51">
                <c:v>-3.8133333333333335</c:v>
              </c:pt>
              <c:pt idx="52">
                <c:v>-3.3711111111111109</c:v>
              </c:pt>
              <c:pt idx="53">
                <c:v>-3.8844444444444446</c:v>
              </c:pt>
              <c:pt idx="54">
                <c:v>-2.9466666666666663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-9.7222222222222232</c:v>
              </c:pt>
              <c:pt idx="67">
                <c:v>-3.7411111111111111</c:v>
              </c:pt>
              <c:pt idx="68">
                <c:v>-13.201111111111112</c:v>
              </c:pt>
              <c:pt idx="69">
                <c:v>-13.136666666666668</c:v>
              </c:pt>
              <c:pt idx="70">
                <c:v>-7.6322222222222225</c:v>
              </c:pt>
              <c:pt idx="71">
                <c:v>-5.5622222222222231</c:v>
              </c:pt>
              <c:pt idx="72">
                <c:v>-3.245168195202595</c:v>
              </c:pt>
              <c:pt idx="73">
                <c:v>-3.6911111111111112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-9.9188888888888886</c:v>
              </c:pt>
              <c:pt idx="91">
                <c:v>-4.956666666666667</c:v>
              </c:pt>
              <c:pt idx="92">
                <c:v>-10.143333333333333</c:v>
              </c:pt>
              <c:pt idx="93">
                <c:v>-12.087777777777777</c:v>
              </c:pt>
              <c:pt idx="94">
                <c:v>-5.8900000000000006</c:v>
              </c:pt>
              <c:pt idx="95">
                <c:v>-5.0133333333333328</c:v>
              </c:pt>
              <c:pt idx="96">
                <c:v>-2.8977777777777782</c:v>
              </c:pt>
              <c:pt idx="97">
                <c:v>-2.7111111111111112</c:v>
              </c:pt>
              <c:pt idx="98">
                <c:v>-2.4911111111111111</c:v>
              </c:pt>
              <c:pt idx="99">
                <c:v>-1.4968484140464255</c:v>
              </c:pt>
              <c:pt idx="100">
                <c:v>0</c:v>
              </c:pt>
              <c:pt idx="101">
                <c:v>0</c:v>
              </c:pt>
              <c:pt idx="102">
                <c:v>-2.344444444444445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-6.6644444444444453</c:v>
              </c:pt>
              <c:pt idx="115">
                <c:v>-4.3000000000000007</c:v>
              </c:pt>
              <c:pt idx="116">
                <c:v>-10.166666666666668</c:v>
              </c:pt>
              <c:pt idx="117">
                <c:v>-7.1455555555555552</c:v>
              </c:pt>
              <c:pt idx="118">
                <c:v>-5.0122222222222224</c:v>
              </c:pt>
              <c:pt idx="119">
                <c:v>-4.568888888888889</c:v>
              </c:pt>
              <c:pt idx="120">
                <c:v>-4.3055555555555554</c:v>
              </c:pt>
              <c:pt idx="121">
                <c:v>-2.6811111111111114</c:v>
              </c:pt>
              <c:pt idx="122">
                <c:v>-2.9433333333333334</c:v>
              </c:pt>
              <c:pt idx="123">
                <c:v>-2.1855555555555557</c:v>
              </c:pt>
              <c:pt idx="124">
                <c:v>-3.8433333333333337</c:v>
              </c:pt>
              <c:pt idx="125">
                <c:v>-2.9355157699377017</c:v>
              </c:pt>
              <c:pt idx="126">
                <c:v>-3.1788888888888889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-30</c:v>
              </c:pt>
              <c:pt idx="136">
                <c:v>0</c:v>
              </c:pt>
              <c:pt idx="137">
                <c:v>0</c:v>
              </c:pt>
              <c:pt idx="138">
                <c:v>-11.101757944547856</c:v>
              </c:pt>
              <c:pt idx="139">
                <c:v>-4.5944444444444441</c:v>
              </c:pt>
              <c:pt idx="140">
                <c:v>-9.3544444444444448</c:v>
              </c:pt>
              <c:pt idx="141">
                <c:v>-8.4433333333333334</c:v>
              </c:pt>
              <c:pt idx="142">
                <c:v>-5.7622222222222224</c:v>
              </c:pt>
              <c:pt idx="143">
                <c:v>-3.9288888888888884</c:v>
              </c:pt>
              <c:pt idx="144">
                <c:v>-2.6944444444444442</c:v>
              </c:pt>
              <c:pt idx="145">
                <c:v>-2.3155555555555556</c:v>
              </c:pt>
              <c:pt idx="146">
                <c:v>-3.2388888888888889</c:v>
              </c:pt>
              <c:pt idx="147">
                <c:v>-2.0222222222222221</c:v>
              </c:pt>
              <c:pt idx="148">
                <c:v>-2.4044444444444442</c:v>
              </c:pt>
              <c:pt idx="149">
                <c:v>-2.476666666666667</c:v>
              </c:pt>
              <c:pt idx="150">
                <c:v>-1.6122222222222224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-30</c:v>
              </c:pt>
              <c:pt idx="163">
                <c:v>-10.958211024231723</c:v>
              </c:pt>
              <c:pt idx="164">
                <c:v>-9.1966666666666654</c:v>
              </c:pt>
              <c:pt idx="165">
                <c:v>-2.7833333333333332</c:v>
              </c:pt>
              <c:pt idx="166">
                <c:v>-4.0077777777777781</c:v>
              </c:pt>
              <c:pt idx="167">
                <c:v>-3.028888888888889</c:v>
              </c:pt>
            </c:numLit>
          </c:val>
          <c:extLst>
            <c:ext xmlns:c16="http://schemas.microsoft.com/office/drawing/2014/chart" uri="{C3380CC4-5D6E-409C-BE32-E72D297353CC}">
              <c16:uniqueId val="{00000002-06EB-40F4-84DD-69589638A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157776"/>
        <c:axId val="251155856"/>
        <c:extLst>
          <c:ext xmlns:c15="http://schemas.microsoft.com/office/drawing/2012/chart" uri="{02D57815-91ED-43cb-92C2-25804820EDAC}">
            <c15:filteredBarSeries>
              <c15:ser>
                <c:idx val="3"/>
                <c:order val="2"/>
                <c:tx>
                  <c:v>Bat_charge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Lit>
                    <c:formatCode>General</c:formatCode>
                    <c:ptCount val="168"/>
                    <c:pt idx="0">
                      <c:v>1</c:v>
                    </c:pt>
                    <c:pt idx="1">
                      <c:v>2</c:v>
                    </c:pt>
                    <c:pt idx="2">
                      <c:v>3</c:v>
                    </c:pt>
                    <c:pt idx="3">
                      <c:v>4</c:v>
                    </c:pt>
                    <c:pt idx="4">
                      <c:v>5</c:v>
                    </c:pt>
                    <c:pt idx="5">
                      <c:v>6</c:v>
                    </c:pt>
                    <c:pt idx="6">
                      <c:v>7</c:v>
                    </c:pt>
                    <c:pt idx="7">
                      <c:v>8</c:v>
                    </c:pt>
                    <c:pt idx="8">
                      <c:v>9</c:v>
                    </c:pt>
                    <c:pt idx="9">
                      <c:v>10</c:v>
                    </c:pt>
                    <c:pt idx="10">
                      <c:v>11</c:v>
                    </c:pt>
                    <c:pt idx="11">
                      <c:v>12</c:v>
                    </c:pt>
                    <c:pt idx="12">
                      <c:v>13</c:v>
                    </c:pt>
                    <c:pt idx="13">
                      <c:v>14</c:v>
                    </c:pt>
                    <c:pt idx="14">
                      <c:v>15</c:v>
                    </c:pt>
                    <c:pt idx="15">
                      <c:v>16</c:v>
                    </c:pt>
                    <c:pt idx="16">
                      <c:v>17</c:v>
                    </c:pt>
                    <c:pt idx="17">
                      <c:v>18</c:v>
                    </c:pt>
                    <c:pt idx="18">
                      <c:v>19</c:v>
                    </c:pt>
                    <c:pt idx="19">
                      <c:v>20</c:v>
                    </c:pt>
                    <c:pt idx="20">
                      <c:v>21</c:v>
                    </c:pt>
                    <c:pt idx="21">
                      <c:v>22</c:v>
                    </c:pt>
                    <c:pt idx="22">
                      <c:v>23</c:v>
                    </c:pt>
                    <c:pt idx="23">
                      <c:v>24</c:v>
                    </c:pt>
                    <c:pt idx="24">
                      <c:v>25</c:v>
                    </c:pt>
                    <c:pt idx="25">
                      <c:v>26</c:v>
                    </c:pt>
                    <c:pt idx="26">
                      <c:v>27</c:v>
                    </c:pt>
                    <c:pt idx="27">
                      <c:v>28</c:v>
                    </c:pt>
                    <c:pt idx="28">
                      <c:v>29</c:v>
                    </c:pt>
                    <c:pt idx="29">
                      <c:v>30</c:v>
                    </c:pt>
                    <c:pt idx="30">
                      <c:v>31</c:v>
                    </c:pt>
                    <c:pt idx="31">
                      <c:v>32</c:v>
                    </c:pt>
                    <c:pt idx="32">
                      <c:v>33</c:v>
                    </c:pt>
                    <c:pt idx="33">
                      <c:v>34</c:v>
                    </c:pt>
                    <c:pt idx="34">
                      <c:v>35</c:v>
                    </c:pt>
                    <c:pt idx="35">
                      <c:v>36</c:v>
                    </c:pt>
                    <c:pt idx="36">
                      <c:v>37</c:v>
                    </c:pt>
                    <c:pt idx="37">
                      <c:v>38</c:v>
                    </c:pt>
                    <c:pt idx="38">
                      <c:v>39</c:v>
                    </c:pt>
                    <c:pt idx="39">
                      <c:v>40</c:v>
                    </c:pt>
                    <c:pt idx="40">
                      <c:v>41</c:v>
                    </c:pt>
                    <c:pt idx="41">
                      <c:v>42</c:v>
                    </c:pt>
                    <c:pt idx="42">
                      <c:v>43</c:v>
                    </c:pt>
                    <c:pt idx="43">
                      <c:v>44</c:v>
                    </c:pt>
                    <c:pt idx="44">
                      <c:v>45</c:v>
                    </c:pt>
                    <c:pt idx="45">
                      <c:v>46</c:v>
                    </c:pt>
                    <c:pt idx="46">
                      <c:v>47</c:v>
                    </c:pt>
                    <c:pt idx="47">
                      <c:v>48</c:v>
                    </c:pt>
                    <c:pt idx="48">
                      <c:v>49</c:v>
                    </c:pt>
                    <c:pt idx="49">
                      <c:v>50</c:v>
                    </c:pt>
                    <c:pt idx="50">
                      <c:v>51</c:v>
                    </c:pt>
                    <c:pt idx="51">
                      <c:v>52</c:v>
                    </c:pt>
                    <c:pt idx="52">
                      <c:v>53</c:v>
                    </c:pt>
                    <c:pt idx="53">
                      <c:v>54</c:v>
                    </c:pt>
                    <c:pt idx="54">
                      <c:v>55</c:v>
                    </c:pt>
                    <c:pt idx="55">
                      <c:v>56</c:v>
                    </c:pt>
                    <c:pt idx="56">
                      <c:v>57</c:v>
                    </c:pt>
                    <c:pt idx="57">
                      <c:v>58</c:v>
                    </c:pt>
                    <c:pt idx="58">
                      <c:v>59</c:v>
                    </c:pt>
                    <c:pt idx="59">
                      <c:v>60</c:v>
                    </c:pt>
                    <c:pt idx="60">
                      <c:v>61</c:v>
                    </c:pt>
                    <c:pt idx="61">
                      <c:v>62</c:v>
                    </c:pt>
                    <c:pt idx="62">
                      <c:v>63</c:v>
                    </c:pt>
                    <c:pt idx="63">
                      <c:v>64</c:v>
                    </c:pt>
                    <c:pt idx="64">
                      <c:v>65</c:v>
                    </c:pt>
                    <c:pt idx="65">
                      <c:v>66</c:v>
                    </c:pt>
                    <c:pt idx="66">
                      <c:v>67</c:v>
                    </c:pt>
                    <c:pt idx="67">
                      <c:v>68</c:v>
                    </c:pt>
                    <c:pt idx="68">
                      <c:v>69</c:v>
                    </c:pt>
                    <c:pt idx="69">
                      <c:v>70</c:v>
                    </c:pt>
                    <c:pt idx="70">
                      <c:v>71</c:v>
                    </c:pt>
                    <c:pt idx="71">
                      <c:v>72</c:v>
                    </c:pt>
                    <c:pt idx="72">
                      <c:v>73</c:v>
                    </c:pt>
                    <c:pt idx="73">
                      <c:v>74</c:v>
                    </c:pt>
                    <c:pt idx="74">
                      <c:v>75</c:v>
                    </c:pt>
                    <c:pt idx="75">
                      <c:v>76</c:v>
                    </c:pt>
                    <c:pt idx="76">
                      <c:v>77</c:v>
                    </c:pt>
                    <c:pt idx="77">
                      <c:v>78</c:v>
                    </c:pt>
                    <c:pt idx="78">
                      <c:v>79</c:v>
                    </c:pt>
                    <c:pt idx="79">
                      <c:v>80</c:v>
                    </c:pt>
                    <c:pt idx="80">
                      <c:v>81</c:v>
                    </c:pt>
                    <c:pt idx="81">
                      <c:v>82</c:v>
                    </c:pt>
                    <c:pt idx="82">
                      <c:v>83</c:v>
                    </c:pt>
                    <c:pt idx="83">
                      <c:v>84</c:v>
                    </c:pt>
                    <c:pt idx="84">
                      <c:v>85</c:v>
                    </c:pt>
                    <c:pt idx="85">
                      <c:v>86</c:v>
                    </c:pt>
                    <c:pt idx="86">
                      <c:v>87</c:v>
                    </c:pt>
                    <c:pt idx="87">
                      <c:v>88</c:v>
                    </c:pt>
                    <c:pt idx="88">
                      <c:v>89</c:v>
                    </c:pt>
                    <c:pt idx="89">
                      <c:v>90</c:v>
                    </c:pt>
                    <c:pt idx="90">
                      <c:v>91</c:v>
                    </c:pt>
                    <c:pt idx="91">
                      <c:v>92</c:v>
                    </c:pt>
                    <c:pt idx="92">
                      <c:v>93</c:v>
                    </c:pt>
                    <c:pt idx="93">
                      <c:v>94</c:v>
                    </c:pt>
                    <c:pt idx="94">
                      <c:v>95</c:v>
                    </c:pt>
                    <c:pt idx="95">
                      <c:v>96</c:v>
                    </c:pt>
                    <c:pt idx="96">
                      <c:v>97</c:v>
                    </c:pt>
                    <c:pt idx="97">
                      <c:v>98</c:v>
                    </c:pt>
                    <c:pt idx="98">
                      <c:v>99</c:v>
                    </c:pt>
                    <c:pt idx="99">
                      <c:v>100</c:v>
                    </c:pt>
                    <c:pt idx="100">
                      <c:v>101</c:v>
                    </c:pt>
                    <c:pt idx="101">
                      <c:v>102</c:v>
                    </c:pt>
                    <c:pt idx="102">
                      <c:v>103</c:v>
                    </c:pt>
                    <c:pt idx="103">
                      <c:v>104</c:v>
                    </c:pt>
                    <c:pt idx="104">
                      <c:v>105</c:v>
                    </c:pt>
                    <c:pt idx="105">
                      <c:v>106</c:v>
                    </c:pt>
                    <c:pt idx="106">
                      <c:v>107</c:v>
                    </c:pt>
                    <c:pt idx="107">
                      <c:v>108</c:v>
                    </c:pt>
                    <c:pt idx="108">
                      <c:v>109</c:v>
                    </c:pt>
                    <c:pt idx="109">
                      <c:v>110</c:v>
                    </c:pt>
                    <c:pt idx="110">
                      <c:v>111</c:v>
                    </c:pt>
                    <c:pt idx="111">
                      <c:v>112</c:v>
                    </c:pt>
                    <c:pt idx="112">
                      <c:v>113</c:v>
                    </c:pt>
                    <c:pt idx="113">
                      <c:v>114</c:v>
                    </c:pt>
                    <c:pt idx="114">
                      <c:v>115</c:v>
                    </c:pt>
                    <c:pt idx="115">
                      <c:v>116</c:v>
                    </c:pt>
                    <c:pt idx="116">
                      <c:v>117</c:v>
                    </c:pt>
                    <c:pt idx="117">
                      <c:v>118</c:v>
                    </c:pt>
                    <c:pt idx="118">
                      <c:v>119</c:v>
                    </c:pt>
                    <c:pt idx="119">
                      <c:v>120</c:v>
                    </c:pt>
                    <c:pt idx="120">
                      <c:v>121</c:v>
                    </c:pt>
                    <c:pt idx="121">
                      <c:v>122</c:v>
                    </c:pt>
                    <c:pt idx="122">
                      <c:v>123</c:v>
                    </c:pt>
                    <c:pt idx="123">
                      <c:v>124</c:v>
                    </c:pt>
                    <c:pt idx="124">
                      <c:v>125</c:v>
                    </c:pt>
                    <c:pt idx="125">
                      <c:v>126</c:v>
                    </c:pt>
                    <c:pt idx="126">
                      <c:v>127</c:v>
                    </c:pt>
                    <c:pt idx="127">
                      <c:v>128</c:v>
                    </c:pt>
                    <c:pt idx="128">
                      <c:v>129</c:v>
                    </c:pt>
                    <c:pt idx="129">
                      <c:v>130</c:v>
                    </c:pt>
                    <c:pt idx="130">
                      <c:v>131</c:v>
                    </c:pt>
                    <c:pt idx="131">
                      <c:v>132</c:v>
                    </c:pt>
                    <c:pt idx="132">
                      <c:v>133</c:v>
                    </c:pt>
                    <c:pt idx="133">
                      <c:v>134</c:v>
                    </c:pt>
                    <c:pt idx="134">
                      <c:v>135</c:v>
                    </c:pt>
                    <c:pt idx="135">
                      <c:v>136</c:v>
                    </c:pt>
                    <c:pt idx="136">
                      <c:v>137</c:v>
                    </c:pt>
                    <c:pt idx="137">
                      <c:v>138</c:v>
                    </c:pt>
                    <c:pt idx="138">
                      <c:v>139</c:v>
                    </c:pt>
                    <c:pt idx="139">
                      <c:v>140</c:v>
                    </c:pt>
                    <c:pt idx="140">
                      <c:v>141</c:v>
                    </c:pt>
                    <c:pt idx="141">
                      <c:v>142</c:v>
                    </c:pt>
                    <c:pt idx="142">
                      <c:v>143</c:v>
                    </c:pt>
                    <c:pt idx="143">
                      <c:v>144</c:v>
                    </c:pt>
                    <c:pt idx="144">
                      <c:v>145</c:v>
                    </c:pt>
                    <c:pt idx="145">
                      <c:v>146</c:v>
                    </c:pt>
                    <c:pt idx="146">
                      <c:v>147</c:v>
                    </c:pt>
                    <c:pt idx="147">
                      <c:v>148</c:v>
                    </c:pt>
                    <c:pt idx="148">
                      <c:v>149</c:v>
                    </c:pt>
                    <c:pt idx="149">
                      <c:v>150</c:v>
                    </c:pt>
                    <c:pt idx="150">
                      <c:v>151</c:v>
                    </c:pt>
                    <c:pt idx="151">
                      <c:v>152</c:v>
                    </c:pt>
                    <c:pt idx="152">
                      <c:v>153</c:v>
                    </c:pt>
                    <c:pt idx="153">
                      <c:v>154</c:v>
                    </c:pt>
                    <c:pt idx="154">
                      <c:v>155</c:v>
                    </c:pt>
                    <c:pt idx="155">
                      <c:v>156</c:v>
                    </c:pt>
                    <c:pt idx="156">
                      <c:v>157</c:v>
                    </c:pt>
                    <c:pt idx="157">
                      <c:v>158</c:v>
                    </c:pt>
                    <c:pt idx="158">
                      <c:v>159</c:v>
                    </c:pt>
                    <c:pt idx="159">
                      <c:v>160</c:v>
                    </c:pt>
                    <c:pt idx="160">
                      <c:v>161</c:v>
                    </c:pt>
                    <c:pt idx="161">
                      <c:v>162</c:v>
                    </c:pt>
                    <c:pt idx="162">
                      <c:v>163</c:v>
                    </c:pt>
                    <c:pt idx="163">
                      <c:v>164</c:v>
                    </c:pt>
                    <c:pt idx="164">
                      <c:v>165</c:v>
                    </c:pt>
                    <c:pt idx="165">
                      <c:v>166</c:v>
                    </c:pt>
                    <c:pt idx="166">
                      <c:v>167</c:v>
                    </c:pt>
                    <c:pt idx="167">
                      <c:v>168</c:v>
                    </c:pt>
                  </c:numLit>
                </c:cat>
                <c:val>
                  <c:numLit>
                    <c:formatCode>General</c:formatCode>
                    <c:ptCount val="168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2.2400000000004638E-3</c:v>
                    </c:pt>
                    <c:pt idx="10">
                      <c:v>2.2400000000004638E-3</c:v>
                    </c:pt>
                    <c:pt idx="11">
                      <c:v>2.2400000000004638E-3</c:v>
                    </c:pt>
                    <c:pt idx="12">
                      <c:v>2.2400000000004638E-3</c:v>
                    </c:pt>
                    <c:pt idx="13">
                      <c:v>6.8016094692497333</c:v>
                    </c:pt>
                    <c:pt idx="14">
                      <c:v>15.251546999999999</c:v>
                    </c:pt>
                    <c:pt idx="15">
                      <c:v>21.033721999999997</c:v>
                    </c:pt>
                    <c:pt idx="16">
                      <c:v>16.921456999999997</c:v>
                    </c:pt>
                    <c:pt idx="17">
                      <c:v>0</c:v>
                    </c:pt>
                    <c:pt idx="18">
                      <c:v>0</c:v>
                    </c:pt>
                    <c:pt idx="19">
                      <c:v>0</c:v>
                    </c:pt>
                    <c:pt idx="20">
                      <c:v>0</c:v>
                    </c:pt>
                    <c:pt idx="21">
                      <c:v>0</c:v>
                    </c:pt>
                    <c:pt idx="22">
                      <c:v>0</c:v>
                    </c:pt>
                    <c:pt idx="23">
                      <c:v>0</c:v>
                    </c:pt>
                    <c:pt idx="24">
                      <c:v>0</c:v>
                    </c:pt>
                    <c:pt idx="25">
                      <c:v>0</c:v>
                    </c:pt>
                    <c:pt idx="26">
                      <c:v>0</c:v>
                    </c:pt>
                    <c:pt idx="27">
                      <c:v>0</c:v>
                    </c:pt>
                    <c:pt idx="28">
                      <c:v>0</c:v>
                    </c:pt>
                    <c:pt idx="29">
                      <c:v>0</c:v>
                    </c:pt>
                    <c:pt idx="30">
                      <c:v>0</c:v>
                    </c:pt>
                    <c:pt idx="31">
                      <c:v>0</c:v>
                    </c:pt>
                    <c:pt idx="32">
                      <c:v>2.2400000000004638E-3</c:v>
                    </c:pt>
                    <c:pt idx="33">
                      <c:v>2.2400000000004638E-3</c:v>
                    </c:pt>
                    <c:pt idx="34">
                      <c:v>2.2400000000004638E-3</c:v>
                    </c:pt>
                    <c:pt idx="35">
                      <c:v>1.9534075559194122</c:v>
                    </c:pt>
                    <c:pt idx="36">
                      <c:v>23.074227</c:v>
                    </c:pt>
                    <c:pt idx="37">
                      <c:v>20.352363</c:v>
                    </c:pt>
                    <c:pt idx="38">
                      <c:v>14.628233</c:v>
                    </c:pt>
                    <c:pt idx="39">
                      <c:v>0</c:v>
                    </c:pt>
                    <c:pt idx="40">
                      <c:v>0</c:v>
                    </c:pt>
                    <c:pt idx="41">
                      <c:v>0</c:v>
                    </c:pt>
                    <c:pt idx="42">
                      <c:v>0</c:v>
                    </c:pt>
                    <c:pt idx="43">
                      <c:v>0</c:v>
                    </c:pt>
                    <c:pt idx="44">
                      <c:v>0</c:v>
                    </c:pt>
                    <c:pt idx="45">
                      <c:v>0</c:v>
                    </c:pt>
                    <c:pt idx="46">
                      <c:v>0</c:v>
                    </c:pt>
                    <c:pt idx="47">
                      <c:v>0</c:v>
                    </c:pt>
                    <c:pt idx="48">
                      <c:v>0</c:v>
                    </c:pt>
                    <c:pt idx="49">
                      <c:v>0</c:v>
                    </c:pt>
                    <c:pt idx="50">
                      <c:v>0</c:v>
                    </c:pt>
                    <c:pt idx="51">
                      <c:v>0</c:v>
                    </c:pt>
                    <c:pt idx="52">
                      <c:v>0</c:v>
                    </c:pt>
                    <c:pt idx="53">
                      <c:v>0</c:v>
                    </c:pt>
                    <c:pt idx="54">
                      <c:v>0</c:v>
                    </c:pt>
                    <c:pt idx="55">
                      <c:v>0</c:v>
                    </c:pt>
                    <c:pt idx="56">
                      <c:v>2.2400000000004638E-3</c:v>
                    </c:pt>
                    <c:pt idx="57">
                      <c:v>2.2400000000004638E-3</c:v>
                    </c:pt>
                    <c:pt idx="58">
                      <c:v>2.2400000000004638E-3</c:v>
                    </c:pt>
                    <c:pt idx="59">
                      <c:v>2.2400000000004638E-3</c:v>
                    </c:pt>
                    <c:pt idx="60">
                      <c:v>23.023325999999997</c:v>
                    </c:pt>
                    <c:pt idx="61">
                      <c:v>20.806641180815994</c:v>
                    </c:pt>
                    <c:pt idx="62">
                      <c:v>16.175801999999997</c:v>
                    </c:pt>
                    <c:pt idx="63">
                      <c:v>0</c:v>
                    </c:pt>
                    <c:pt idx="64">
                      <c:v>0</c:v>
                    </c:pt>
                    <c:pt idx="65">
                      <c:v>0</c:v>
                    </c:pt>
                    <c:pt idx="66">
                      <c:v>0</c:v>
                    </c:pt>
                    <c:pt idx="67">
                      <c:v>0</c:v>
                    </c:pt>
                    <c:pt idx="68">
                      <c:v>0</c:v>
                    </c:pt>
                    <c:pt idx="69">
                      <c:v>0</c:v>
                    </c:pt>
                    <c:pt idx="70">
                      <c:v>0</c:v>
                    </c:pt>
                    <c:pt idx="71">
                      <c:v>0</c:v>
                    </c:pt>
                    <c:pt idx="72">
                      <c:v>0</c:v>
                    </c:pt>
                    <c:pt idx="73">
                      <c:v>0</c:v>
                    </c:pt>
                    <c:pt idx="74">
                      <c:v>0</c:v>
                    </c:pt>
                    <c:pt idx="75">
                      <c:v>0</c:v>
                    </c:pt>
                    <c:pt idx="76">
                      <c:v>0</c:v>
                    </c:pt>
                    <c:pt idx="77">
                      <c:v>0</c:v>
                    </c:pt>
                    <c:pt idx="78">
                      <c:v>0</c:v>
                    </c:pt>
                    <c:pt idx="79">
                      <c:v>0</c:v>
                    </c:pt>
                    <c:pt idx="80">
                      <c:v>0</c:v>
                    </c:pt>
                    <c:pt idx="81">
                      <c:v>2.2400000000004638E-3</c:v>
                    </c:pt>
                    <c:pt idx="82">
                      <c:v>2.2400000000004638E-3</c:v>
                    </c:pt>
                    <c:pt idx="83">
                      <c:v>2.2400000000004638E-3</c:v>
                    </c:pt>
                    <c:pt idx="84">
                      <c:v>2.2400000000004638E-3</c:v>
                    </c:pt>
                    <c:pt idx="85">
                      <c:v>2.2400000000004638E-3</c:v>
                    </c:pt>
                    <c:pt idx="86">
                      <c:v>1.6450507329622326</c:v>
                    </c:pt>
                    <c:pt idx="87">
                      <c:v>18.836942000000001</c:v>
                    </c:pt>
                    <c:pt idx="88">
                      <c:v>21.054261</c:v>
                    </c:pt>
                    <c:pt idx="89">
                      <c:v>18.471705</c:v>
                    </c:pt>
                    <c:pt idx="90">
                      <c:v>0</c:v>
                    </c:pt>
                    <c:pt idx="91">
                      <c:v>0</c:v>
                    </c:pt>
                    <c:pt idx="92">
                      <c:v>0</c:v>
                    </c:pt>
                    <c:pt idx="93">
                      <c:v>0</c:v>
                    </c:pt>
                    <c:pt idx="94">
                      <c:v>0</c:v>
                    </c:pt>
                    <c:pt idx="95">
                      <c:v>0</c:v>
                    </c:pt>
                    <c:pt idx="96">
                      <c:v>0</c:v>
                    </c:pt>
                    <c:pt idx="97">
                      <c:v>0</c:v>
                    </c:pt>
                    <c:pt idx="98">
                      <c:v>0</c:v>
                    </c:pt>
                    <c:pt idx="99">
                      <c:v>0</c:v>
                    </c:pt>
                    <c:pt idx="100">
                      <c:v>0</c:v>
                    </c:pt>
                    <c:pt idx="101">
                      <c:v>0</c:v>
                    </c:pt>
                    <c:pt idx="102">
                      <c:v>0</c:v>
                    </c:pt>
                    <c:pt idx="103">
                      <c:v>2.2400000000004638E-3</c:v>
                    </c:pt>
                    <c:pt idx="104">
                      <c:v>2.2400000000004638E-3</c:v>
                    </c:pt>
                    <c:pt idx="105">
                      <c:v>2.2400000000004638E-3</c:v>
                    </c:pt>
                    <c:pt idx="106">
                      <c:v>2.2400000000004638E-3</c:v>
                    </c:pt>
                    <c:pt idx="107">
                      <c:v>2.2400000000004638E-3</c:v>
                    </c:pt>
                    <c:pt idx="108">
                      <c:v>24.530709999999999</c:v>
                    </c:pt>
                    <c:pt idx="109">
                      <c:v>20.021952999999996</c:v>
                    </c:pt>
                    <c:pt idx="110">
                      <c:v>0.40283821564672451</c:v>
                    </c:pt>
                    <c:pt idx="111">
                      <c:v>15.055086999999999</c:v>
                    </c:pt>
                    <c:pt idx="112">
                      <c:v>0</c:v>
                    </c:pt>
                    <c:pt idx="113">
                      <c:v>0</c:v>
                    </c:pt>
                    <c:pt idx="114">
                      <c:v>0</c:v>
                    </c:pt>
                    <c:pt idx="115">
                      <c:v>0</c:v>
                    </c:pt>
                    <c:pt idx="116">
                      <c:v>0</c:v>
                    </c:pt>
                    <c:pt idx="117">
                      <c:v>0</c:v>
                    </c:pt>
                    <c:pt idx="118">
                      <c:v>0</c:v>
                    </c:pt>
                    <c:pt idx="119">
                      <c:v>0</c:v>
                    </c:pt>
                    <c:pt idx="120">
                      <c:v>0</c:v>
                    </c:pt>
                    <c:pt idx="121">
                      <c:v>0</c:v>
                    </c:pt>
                    <c:pt idx="122">
                      <c:v>0</c:v>
                    </c:pt>
                    <c:pt idx="123">
                      <c:v>0</c:v>
                    </c:pt>
                    <c:pt idx="124">
                      <c:v>0</c:v>
                    </c:pt>
                    <c:pt idx="125">
                      <c:v>0</c:v>
                    </c:pt>
                    <c:pt idx="126">
                      <c:v>0</c:v>
                    </c:pt>
                    <c:pt idx="127">
                      <c:v>0</c:v>
                    </c:pt>
                    <c:pt idx="128">
                      <c:v>0</c:v>
                    </c:pt>
                    <c:pt idx="129">
                      <c:v>2.2400000000004638E-3</c:v>
                    </c:pt>
                    <c:pt idx="130">
                      <c:v>2.2400000000004638E-3</c:v>
                    </c:pt>
                    <c:pt idx="131">
                      <c:v>2.2400000000004638E-3</c:v>
                    </c:pt>
                    <c:pt idx="132">
                      <c:v>14.842930411444371</c:v>
                    </c:pt>
                    <c:pt idx="133">
                      <c:v>20.847977999999998</c:v>
                    </c:pt>
                    <c:pt idx="134">
                      <c:v>17.892147999999999</c:v>
                    </c:pt>
                    <c:pt idx="135">
                      <c:v>0</c:v>
                    </c:pt>
                    <c:pt idx="136">
                      <c:v>18.911954000000001</c:v>
                    </c:pt>
                    <c:pt idx="137">
                      <c:v>17.523339</c:v>
                    </c:pt>
                    <c:pt idx="138">
                      <c:v>0</c:v>
                    </c:pt>
                    <c:pt idx="139">
                      <c:v>0</c:v>
                    </c:pt>
                    <c:pt idx="140">
                      <c:v>0</c:v>
                    </c:pt>
                    <c:pt idx="141">
                      <c:v>0</c:v>
                    </c:pt>
                    <c:pt idx="142">
                      <c:v>0</c:v>
                    </c:pt>
                    <c:pt idx="143">
                      <c:v>0</c:v>
                    </c:pt>
                    <c:pt idx="144">
                      <c:v>0</c:v>
                    </c:pt>
                    <c:pt idx="145">
                      <c:v>0</c:v>
                    </c:pt>
                    <c:pt idx="146">
                      <c:v>0</c:v>
                    </c:pt>
                    <c:pt idx="147">
                      <c:v>0</c:v>
                    </c:pt>
                    <c:pt idx="148">
                      <c:v>0</c:v>
                    </c:pt>
                    <c:pt idx="149">
                      <c:v>0</c:v>
                    </c:pt>
                    <c:pt idx="150">
                      <c:v>0</c:v>
                    </c:pt>
                    <c:pt idx="151">
                      <c:v>2.2400000000004638E-3</c:v>
                    </c:pt>
                    <c:pt idx="152">
                      <c:v>2.2400000000004638E-3</c:v>
                    </c:pt>
                    <c:pt idx="153">
                      <c:v>2.2400000000004638E-3</c:v>
                    </c:pt>
                    <c:pt idx="154">
                      <c:v>2.2400000000004638E-3</c:v>
                    </c:pt>
                    <c:pt idx="155">
                      <c:v>2.2400000000004638E-3</c:v>
                    </c:pt>
                    <c:pt idx="156">
                      <c:v>2.2400000000004638E-3</c:v>
                    </c:pt>
                    <c:pt idx="157">
                      <c:v>2.2400000000004638E-3</c:v>
                    </c:pt>
                    <c:pt idx="158">
                      <c:v>1.2298868563260186</c:v>
                    </c:pt>
                    <c:pt idx="159">
                      <c:v>21.115877999999999</c:v>
                    </c:pt>
                    <c:pt idx="160">
                      <c:v>17.360813</c:v>
                    </c:pt>
                    <c:pt idx="161">
                      <c:v>20.301462000000001</c:v>
                    </c:pt>
                    <c:pt idx="162">
                      <c:v>0</c:v>
                    </c:pt>
                    <c:pt idx="163">
                      <c:v>0</c:v>
                    </c:pt>
                    <c:pt idx="164">
                      <c:v>0</c:v>
                    </c:pt>
                    <c:pt idx="165">
                      <c:v>0</c:v>
                    </c:pt>
                    <c:pt idx="166">
                      <c:v>0</c:v>
                    </c:pt>
                    <c:pt idx="167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3-06EB-40F4-84DD-69589638A6F1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v>Grid_imp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Lit>
                    <c:formatCode>General</c:formatCode>
                    <c:ptCount val="168"/>
                    <c:pt idx="0">
                      <c:v>1</c:v>
                    </c:pt>
                    <c:pt idx="1">
                      <c:v>2</c:v>
                    </c:pt>
                    <c:pt idx="2">
                      <c:v>3</c:v>
                    </c:pt>
                    <c:pt idx="3">
                      <c:v>4</c:v>
                    </c:pt>
                    <c:pt idx="4">
                      <c:v>5</c:v>
                    </c:pt>
                    <c:pt idx="5">
                      <c:v>6</c:v>
                    </c:pt>
                    <c:pt idx="6">
                      <c:v>7</c:v>
                    </c:pt>
                    <c:pt idx="7">
                      <c:v>8</c:v>
                    </c:pt>
                    <c:pt idx="8">
                      <c:v>9</c:v>
                    </c:pt>
                    <c:pt idx="9">
                      <c:v>10</c:v>
                    </c:pt>
                    <c:pt idx="10">
                      <c:v>11</c:v>
                    </c:pt>
                    <c:pt idx="11">
                      <c:v>12</c:v>
                    </c:pt>
                    <c:pt idx="12">
                      <c:v>13</c:v>
                    </c:pt>
                    <c:pt idx="13">
                      <c:v>14</c:v>
                    </c:pt>
                    <c:pt idx="14">
                      <c:v>15</c:v>
                    </c:pt>
                    <c:pt idx="15">
                      <c:v>16</c:v>
                    </c:pt>
                    <c:pt idx="16">
                      <c:v>17</c:v>
                    </c:pt>
                    <c:pt idx="17">
                      <c:v>18</c:v>
                    </c:pt>
                    <c:pt idx="18">
                      <c:v>19</c:v>
                    </c:pt>
                    <c:pt idx="19">
                      <c:v>20</c:v>
                    </c:pt>
                    <c:pt idx="20">
                      <c:v>21</c:v>
                    </c:pt>
                    <c:pt idx="21">
                      <c:v>22</c:v>
                    </c:pt>
                    <c:pt idx="22">
                      <c:v>23</c:v>
                    </c:pt>
                    <c:pt idx="23">
                      <c:v>24</c:v>
                    </c:pt>
                    <c:pt idx="24">
                      <c:v>25</c:v>
                    </c:pt>
                    <c:pt idx="25">
                      <c:v>26</c:v>
                    </c:pt>
                    <c:pt idx="26">
                      <c:v>27</c:v>
                    </c:pt>
                    <c:pt idx="27">
                      <c:v>28</c:v>
                    </c:pt>
                    <c:pt idx="28">
                      <c:v>29</c:v>
                    </c:pt>
                    <c:pt idx="29">
                      <c:v>30</c:v>
                    </c:pt>
                    <c:pt idx="30">
                      <c:v>31</c:v>
                    </c:pt>
                    <c:pt idx="31">
                      <c:v>32</c:v>
                    </c:pt>
                    <c:pt idx="32">
                      <c:v>33</c:v>
                    </c:pt>
                    <c:pt idx="33">
                      <c:v>34</c:v>
                    </c:pt>
                    <c:pt idx="34">
                      <c:v>35</c:v>
                    </c:pt>
                    <c:pt idx="35">
                      <c:v>36</c:v>
                    </c:pt>
                    <c:pt idx="36">
                      <c:v>37</c:v>
                    </c:pt>
                    <c:pt idx="37">
                      <c:v>38</c:v>
                    </c:pt>
                    <c:pt idx="38">
                      <c:v>39</c:v>
                    </c:pt>
                    <c:pt idx="39">
                      <c:v>40</c:v>
                    </c:pt>
                    <c:pt idx="40">
                      <c:v>41</c:v>
                    </c:pt>
                    <c:pt idx="41">
                      <c:v>42</c:v>
                    </c:pt>
                    <c:pt idx="42">
                      <c:v>43</c:v>
                    </c:pt>
                    <c:pt idx="43">
                      <c:v>44</c:v>
                    </c:pt>
                    <c:pt idx="44">
                      <c:v>45</c:v>
                    </c:pt>
                    <c:pt idx="45">
                      <c:v>46</c:v>
                    </c:pt>
                    <c:pt idx="46">
                      <c:v>47</c:v>
                    </c:pt>
                    <c:pt idx="47">
                      <c:v>48</c:v>
                    </c:pt>
                    <c:pt idx="48">
                      <c:v>49</c:v>
                    </c:pt>
                    <c:pt idx="49">
                      <c:v>50</c:v>
                    </c:pt>
                    <c:pt idx="50">
                      <c:v>51</c:v>
                    </c:pt>
                    <c:pt idx="51">
                      <c:v>52</c:v>
                    </c:pt>
                    <c:pt idx="52">
                      <c:v>53</c:v>
                    </c:pt>
                    <c:pt idx="53">
                      <c:v>54</c:v>
                    </c:pt>
                    <c:pt idx="54">
                      <c:v>55</c:v>
                    </c:pt>
                    <c:pt idx="55">
                      <c:v>56</c:v>
                    </c:pt>
                    <c:pt idx="56">
                      <c:v>57</c:v>
                    </c:pt>
                    <c:pt idx="57">
                      <c:v>58</c:v>
                    </c:pt>
                    <c:pt idx="58">
                      <c:v>59</c:v>
                    </c:pt>
                    <c:pt idx="59">
                      <c:v>60</c:v>
                    </c:pt>
                    <c:pt idx="60">
                      <c:v>61</c:v>
                    </c:pt>
                    <c:pt idx="61">
                      <c:v>62</c:v>
                    </c:pt>
                    <c:pt idx="62">
                      <c:v>63</c:v>
                    </c:pt>
                    <c:pt idx="63">
                      <c:v>64</c:v>
                    </c:pt>
                    <c:pt idx="64">
                      <c:v>65</c:v>
                    </c:pt>
                    <c:pt idx="65">
                      <c:v>66</c:v>
                    </c:pt>
                    <c:pt idx="66">
                      <c:v>67</c:v>
                    </c:pt>
                    <c:pt idx="67">
                      <c:v>68</c:v>
                    </c:pt>
                    <c:pt idx="68">
                      <c:v>69</c:v>
                    </c:pt>
                    <c:pt idx="69">
                      <c:v>70</c:v>
                    </c:pt>
                    <c:pt idx="70">
                      <c:v>71</c:v>
                    </c:pt>
                    <c:pt idx="71">
                      <c:v>72</c:v>
                    </c:pt>
                    <c:pt idx="72">
                      <c:v>73</c:v>
                    </c:pt>
                    <c:pt idx="73">
                      <c:v>74</c:v>
                    </c:pt>
                    <c:pt idx="74">
                      <c:v>75</c:v>
                    </c:pt>
                    <c:pt idx="75">
                      <c:v>76</c:v>
                    </c:pt>
                    <c:pt idx="76">
                      <c:v>77</c:v>
                    </c:pt>
                    <c:pt idx="77">
                      <c:v>78</c:v>
                    </c:pt>
                    <c:pt idx="78">
                      <c:v>79</c:v>
                    </c:pt>
                    <c:pt idx="79">
                      <c:v>80</c:v>
                    </c:pt>
                    <c:pt idx="80">
                      <c:v>81</c:v>
                    </c:pt>
                    <c:pt idx="81">
                      <c:v>82</c:v>
                    </c:pt>
                    <c:pt idx="82">
                      <c:v>83</c:v>
                    </c:pt>
                    <c:pt idx="83">
                      <c:v>84</c:v>
                    </c:pt>
                    <c:pt idx="84">
                      <c:v>85</c:v>
                    </c:pt>
                    <c:pt idx="85">
                      <c:v>86</c:v>
                    </c:pt>
                    <c:pt idx="86">
                      <c:v>87</c:v>
                    </c:pt>
                    <c:pt idx="87">
                      <c:v>88</c:v>
                    </c:pt>
                    <c:pt idx="88">
                      <c:v>89</c:v>
                    </c:pt>
                    <c:pt idx="89">
                      <c:v>90</c:v>
                    </c:pt>
                    <c:pt idx="90">
                      <c:v>91</c:v>
                    </c:pt>
                    <c:pt idx="91">
                      <c:v>92</c:v>
                    </c:pt>
                    <c:pt idx="92">
                      <c:v>93</c:v>
                    </c:pt>
                    <c:pt idx="93">
                      <c:v>94</c:v>
                    </c:pt>
                    <c:pt idx="94">
                      <c:v>95</c:v>
                    </c:pt>
                    <c:pt idx="95">
                      <c:v>96</c:v>
                    </c:pt>
                    <c:pt idx="96">
                      <c:v>97</c:v>
                    </c:pt>
                    <c:pt idx="97">
                      <c:v>98</c:v>
                    </c:pt>
                    <c:pt idx="98">
                      <c:v>99</c:v>
                    </c:pt>
                    <c:pt idx="99">
                      <c:v>100</c:v>
                    </c:pt>
                    <c:pt idx="100">
                      <c:v>101</c:v>
                    </c:pt>
                    <c:pt idx="101">
                      <c:v>102</c:v>
                    </c:pt>
                    <c:pt idx="102">
                      <c:v>103</c:v>
                    </c:pt>
                    <c:pt idx="103">
                      <c:v>104</c:v>
                    </c:pt>
                    <c:pt idx="104">
                      <c:v>105</c:v>
                    </c:pt>
                    <c:pt idx="105">
                      <c:v>106</c:v>
                    </c:pt>
                    <c:pt idx="106">
                      <c:v>107</c:v>
                    </c:pt>
                    <c:pt idx="107">
                      <c:v>108</c:v>
                    </c:pt>
                    <c:pt idx="108">
                      <c:v>109</c:v>
                    </c:pt>
                    <c:pt idx="109">
                      <c:v>110</c:v>
                    </c:pt>
                    <c:pt idx="110">
                      <c:v>111</c:v>
                    </c:pt>
                    <c:pt idx="111">
                      <c:v>112</c:v>
                    </c:pt>
                    <c:pt idx="112">
                      <c:v>113</c:v>
                    </c:pt>
                    <c:pt idx="113">
                      <c:v>114</c:v>
                    </c:pt>
                    <c:pt idx="114">
                      <c:v>115</c:v>
                    </c:pt>
                    <c:pt idx="115">
                      <c:v>116</c:v>
                    </c:pt>
                    <c:pt idx="116">
                      <c:v>117</c:v>
                    </c:pt>
                    <c:pt idx="117">
                      <c:v>118</c:v>
                    </c:pt>
                    <c:pt idx="118">
                      <c:v>119</c:v>
                    </c:pt>
                    <c:pt idx="119">
                      <c:v>120</c:v>
                    </c:pt>
                    <c:pt idx="120">
                      <c:v>121</c:v>
                    </c:pt>
                    <c:pt idx="121">
                      <c:v>122</c:v>
                    </c:pt>
                    <c:pt idx="122">
                      <c:v>123</c:v>
                    </c:pt>
                    <c:pt idx="123">
                      <c:v>124</c:v>
                    </c:pt>
                    <c:pt idx="124">
                      <c:v>125</c:v>
                    </c:pt>
                    <c:pt idx="125">
                      <c:v>126</c:v>
                    </c:pt>
                    <c:pt idx="126">
                      <c:v>127</c:v>
                    </c:pt>
                    <c:pt idx="127">
                      <c:v>128</c:v>
                    </c:pt>
                    <c:pt idx="128">
                      <c:v>129</c:v>
                    </c:pt>
                    <c:pt idx="129">
                      <c:v>130</c:v>
                    </c:pt>
                    <c:pt idx="130">
                      <c:v>131</c:v>
                    </c:pt>
                    <c:pt idx="131">
                      <c:v>132</c:v>
                    </c:pt>
                    <c:pt idx="132">
                      <c:v>133</c:v>
                    </c:pt>
                    <c:pt idx="133">
                      <c:v>134</c:v>
                    </c:pt>
                    <c:pt idx="134">
                      <c:v>135</c:v>
                    </c:pt>
                    <c:pt idx="135">
                      <c:v>136</c:v>
                    </c:pt>
                    <c:pt idx="136">
                      <c:v>137</c:v>
                    </c:pt>
                    <c:pt idx="137">
                      <c:v>138</c:v>
                    </c:pt>
                    <c:pt idx="138">
                      <c:v>139</c:v>
                    </c:pt>
                    <c:pt idx="139">
                      <c:v>140</c:v>
                    </c:pt>
                    <c:pt idx="140">
                      <c:v>141</c:v>
                    </c:pt>
                    <c:pt idx="141">
                      <c:v>142</c:v>
                    </c:pt>
                    <c:pt idx="142">
                      <c:v>143</c:v>
                    </c:pt>
                    <c:pt idx="143">
                      <c:v>144</c:v>
                    </c:pt>
                    <c:pt idx="144">
                      <c:v>145</c:v>
                    </c:pt>
                    <c:pt idx="145">
                      <c:v>146</c:v>
                    </c:pt>
                    <c:pt idx="146">
                      <c:v>147</c:v>
                    </c:pt>
                    <c:pt idx="147">
                      <c:v>148</c:v>
                    </c:pt>
                    <c:pt idx="148">
                      <c:v>149</c:v>
                    </c:pt>
                    <c:pt idx="149">
                      <c:v>150</c:v>
                    </c:pt>
                    <c:pt idx="150">
                      <c:v>151</c:v>
                    </c:pt>
                    <c:pt idx="151">
                      <c:v>152</c:v>
                    </c:pt>
                    <c:pt idx="152">
                      <c:v>153</c:v>
                    </c:pt>
                    <c:pt idx="153">
                      <c:v>154</c:v>
                    </c:pt>
                    <c:pt idx="154">
                      <c:v>155</c:v>
                    </c:pt>
                    <c:pt idx="155">
                      <c:v>156</c:v>
                    </c:pt>
                    <c:pt idx="156">
                      <c:v>157</c:v>
                    </c:pt>
                    <c:pt idx="157">
                      <c:v>158</c:v>
                    </c:pt>
                    <c:pt idx="158">
                      <c:v>159</c:v>
                    </c:pt>
                    <c:pt idx="159">
                      <c:v>160</c:v>
                    </c:pt>
                    <c:pt idx="160">
                      <c:v>161</c:v>
                    </c:pt>
                    <c:pt idx="161">
                      <c:v>162</c:v>
                    </c:pt>
                    <c:pt idx="162">
                      <c:v>163</c:v>
                    </c:pt>
                    <c:pt idx="163">
                      <c:v>164</c:v>
                    </c:pt>
                    <c:pt idx="164">
                      <c:v>165</c:v>
                    </c:pt>
                    <c:pt idx="165">
                      <c:v>166</c:v>
                    </c:pt>
                    <c:pt idx="166">
                      <c:v>167</c:v>
                    </c:pt>
                    <c:pt idx="167">
                      <c:v>168</c:v>
                    </c:pt>
                  </c:numLit>
                </c:cat>
                <c:val>
                  <c:numLit>
                    <c:formatCode>General</c:formatCode>
                    <c:ptCount val="168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-2.9407418324158208</c:v>
                    </c:pt>
                    <c:pt idx="4">
                      <c:v>-3.8260000000000001</c:v>
                    </c:pt>
                    <c:pt idx="5">
                      <c:v>-3.6909999999999998</c:v>
                    </c:pt>
                    <c:pt idx="6">
                      <c:v>-2.7290000000000001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  <c:pt idx="13">
                      <c:v>0</c:v>
                    </c:pt>
                    <c:pt idx="14">
                      <c:v>0</c:v>
                    </c:pt>
                    <c:pt idx="15">
                      <c:v>0</c:v>
                    </c:pt>
                    <c:pt idx="16">
                      <c:v>0</c:v>
                    </c:pt>
                    <c:pt idx="17">
                      <c:v>0</c:v>
                    </c:pt>
                    <c:pt idx="18">
                      <c:v>0</c:v>
                    </c:pt>
                    <c:pt idx="19">
                      <c:v>0</c:v>
                    </c:pt>
                    <c:pt idx="20">
                      <c:v>0</c:v>
                    </c:pt>
                    <c:pt idx="21">
                      <c:v>0</c:v>
                    </c:pt>
                    <c:pt idx="22">
                      <c:v>0</c:v>
                    </c:pt>
                    <c:pt idx="23">
                      <c:v>0</c:v>
                    </c:pt>
                    <c:pt idx="24">
                      <c:v>0</c:v>
                    </c:pt>
                    <c:pt idx="25">
                      <c:v>-0.38157399992025831</c:v>
                    </c:pt>
                    <c:pt idx="26">
                      <c:v>-0.93499999999999994</c:v>
                    </c:pt>
                    <c:pt idx="27">
                      <c:v>-3.1270000000000002</c:v>
                    </c:pt>
                    <c:pt idx="28">
                      <c:v>-1.794</c:v>
                    </c:pt>
                    <c:pt idx="29">
                      <c:v>-2.0569999999999999</c:v>
                    </c:pt>
                    <c:pt idx="30">
                      <c:v>-1.7270000000000001</c:v>
                    </c:pt>
                    <c:pt idx="31">
                      <c:v>0</c:v>
                    </c:pt>
                    <c:pt idx="32">
                      <c:v>0</c:v>
                    </c:pt>
                    <c:pt idx="33">
                      <c:v>0</c:v>
                    </c:pt>
                    <c:pt idx="34">
                      <c:v>0</c:v>
                    </c:pt>
                    <c:pt idx="35">
                      <c:v>0</c:v>
                    </c:pt>
                    <c:pt idx="36">
                      <c:v>0</c:v>
                    </c:pt>
                    <c:pt idx="37">
                      <c:v>0</c:v>
                    </c:pt>
                    <c:pt idx="38">
                      <c:v>0</c:v>
                    </c:pt>
                    <c:pt idx="39">
                      <c:v>0</c:v>
                    </c:pt>
                    <c:pt idx="40">
                      <c:v>0</c:v>
                    </c:pt>
                    <c:pt idx="41">
                      <c:v>0</c:v>
                    </c:pt>
                    <c:pt idx="42">
                      <c:v>0</c:v>
                    </c:pt>
                    <c:pt idx="43">
                      <c:v>0</c:v>
                    </c:pt>
                    <c:pt idx="44">
                      <c:v>0</c:v>
                    </c:pt>
                    <c:pt idx="45">
                      <c:v>0</c:v>
                    </c:pt>
                    <c:pt idx="46">
                      <c:v>0</c:v>
                    </c:pt>
                    <c:pt idx="47">
                      <c:v>0</c:v>
                    </c:pt>
                    <c:pt idx="48">
                      <c:v>0</c:v>
                    </c:pt>
                    <c:pt idx="49">
                      <c:v>0</c:v>
                    </c:pt>
                    <c:pt idx="50">
                      <c:v>0</c:v>
                    </c:pt>
                    <c:pt idx="51">
                      <c:v>0</c:v>
                    </c:pt>
                    <c:pt idx="52">
                      <c:v>0</c:v>
                    </c:pt>
                    <c:pt idx="53">
                      <c:v>0</c:v>
                    </c:pt>
                    <c:pt idx="54">
                      <c:v>0</c:v>
                    </c:pt>
                    <c:pt idx="55">
                      <c:v>0</c:v>
                    </c:pt>
                    <c:pt idx="56">
                      <c:v>0</c:v>
                    </c:pt>
                    <c:pt idx="57">
                      <c:v>0</c:v>
                    </c:pt>
                    <c:pt idx="58">
                      <c:v>0</c:v>
                    </c:pt>
                    <c:pt idx="59">
                      <c:v>0</c:v>
                    </c:pt>
                    <c:pt idx="60">
                      <c:v>0</c:v>
                    </c:pt>
                    <c:pt idx="61">
                      <c:v>0</c:v>
                    </c:pt>
                    <c:pt idx="62">
                      <c:v>0</c:v>
                    </c:pt>
                    <c:pt idx="63">
                      <c:v>0</c:v>
                    </c:pt>
                    <c:pt idx="64">
                      <c:v>0</c:v>
                    </c:pt>
                    <c:pt idx="65">
                      <c:v>0</c:v>
                    </c:pt>
                    <c:pt idx="66">
                      <c:v>0</c:v>
                    </c:pt>
                    <c:pt idx="67">
                      <c:v>0</c:v>
                    </c:pt>
                    <c:pt idx="68">
                      <c:v>0</c:v>
                    </c:pt>
                    <c:pt idx="69">
                      <c:v>0</c:v>
                    </c:pt>
                    <c:pt idx="70">
                      <c:v>0</c:v>
                    </c:pt>
                    <c:pt idx="71">
                      <c:v>0</c:v>
                    </c:pt>
                    <c:pt idx="72">
                      <c:v>-0.24734862431766436</c:v>
                    </c:pt>
                    <c:pt idx="73">
                      <c:v>0</c:v>
                    </c:pt>
                    <c:pt idx="74">
                      <c:v>-3.1389999999999998</c:v>
                    </c:pt>
                    <c:pt idx="75">
                      <c:v>-2.2309999999999999</c:v>
                    </c:pt>
                    <c:pt idx="76">
                      <c:v>-2.0060000000000002</c:v>
                    </c:pt>
                    <c:pt idx="77">
                      <c:v>-2.532</c:v>
                    </c:pt>
                    <c:pt idx="78">
                      <c:v>-2.9020000000000001</c:v>
                    </c:pt>
                    <c:pt idx="79">
                      <c:v>0</c:v>
                    </c:pt>
                    <c:pt idx="80">
                      <c:v>0</c:v>
                    </c:pt>
                    <c:pt idx="81">
                      <c:v>0</c:v>
                    </c:pt>
                    <c:pt idx="82">
                      <c:v>0</c:v>
                    </c:pt>
                    <c:pt idx="83">
                      <c:v>0</c:v>
                    </c:pt>
                    <c:pt idx="84">
                      <c:v>0</c:v>
                    </c:pt>
                    <c:pt idx="85">
                      <c:v>0</c:v>
                    </c:pt>
                    <c:pt idx="86">
                      <c:v>0</c:v>
                    </c:pt>
                    <c:pt idx="87">
                      <c:v>0</c:v>
                    </c:pt>
                    <c:pt idx="88">
                      <c:v>0</c:v>
                    </c:pt>
                    <c:pt idx="89">
                      <c:v>0</c:v>
                    </c:pt>
                    <c:pt idx="90">
                      <c:v>0</c:v>
                    </c:pt>
                    <c:pt idx="91">
                      <c:v>0</c:v>
                    </c:pt>
                    <c:pt idx="92">
                      <c:v>0</c:v>
                    </c:pt>
                    <c:pt idx="93">
                      <c:v>0</c:v>
                    </c:pt>
                    <c:pt idx="94">
                      <c:v>0</c:v>
                    </c:pt>
                    <c:pt idx="95">
                      <c:v>0</c:v>
                    </c:pt>
                    <c:pt idx="96">
                      <c:v>0</c:v>
                    </c:pt>
                    <c:pt idx="97">
                      <c:v>0</c:v>
                    </c:pt>
                    <c:pt idx="98">
                      <c:v>0</c:v>
                    </c:pt>
                    <c:pt idx="99">
                      <c:v>-2.0298364273582168</c:v>
                    </c:pt>
                    <c:pt idx="100">
                      <c:v>-2.0860000000000003</c:v>
                    </c:pt>
                    <c:pt idx="101">
                      <c:v>-3.1779999999999999</c:v>
                    </c:pt>
                    <c:pt idx="102">
                      <c:v>0</c:v>
                    </c:pt>
                    <c:pt idx="103">
                      <c:v>0</c:v>
                    </c:pt>
                    <c:pt idx="104">
                      <c:v>0</c:v>
                    </c:pt>
                    <c:pt idx="105">
                      <c:v>0</c:v>
                    </c:pt>
                    <c:pt idx="106">
                      <c:v>0</c:v>
                    </c:pt>
                    <c:pt idx="107">
                      <c:v>0</c:v>
                    </c:pt>
                    <c:pt idx="108">
                      <c:v>0</c:v>
                    </c:pt>
                    <c:pt idx="109">
                      <c:v>0</c:v>
                    </c:pt>
                    <c:pt idx="110">
                      <c:v>0</c:v>
                    </c:pt>
                    <c:pt idx="111">
                      <c:v>0</c:v>
                    </c:pt>
                    <c:pt idx="112">
                      <c:v>0</c:v>
                    </c:pt>
                    <c:pt idx="113">
                      <c:v>0</c:v>
                    </c:pt>
                    <c:pt idx="114">
                      <c:v>0</c:v>
                    </c:pt>
                    <c:pt idx="115">
                      <c:v>0</c:v>
                    </c:pt>
                    <c:pt idx="116">
                      <c:v>0</c:v>
                    </c:pt>
                    <c:pt idx="117">
                      <c:v>0</c:v>
                    </c:pt>
                    <c:pt idx="118">
                      <c:v>0</c:v>
                    </c:pt>
                    <c:pt idx="119">
                      <c:v>0</c:v>
                    </c:pt>
                    <c:pt idx="120">
                      <c:v>0</c:v>
                    </c:pt>
                    <c:pt idx="121">
                      <c:v>0</c:v>
                    </c:pt>
                    <c:pt idx="122">
                      <c:v>0</c:v>
                    </c:pt>
                    <c:pt idx="123">
                      <c:v>0</c:v>
                    </c:pt>
                    <c:pt idx="124">
                      <c:v>0</c:v>
                    </c:pt>
                    <c:pt idx="125">
                      <c:v>-0.36503580705606797</c:v>
                    </c:pt>
                    <c:pt idx="126">
                      <c:v>0</c:v>
                    </c:pt>
                    <c:pt idx="127">
                      <c:v>0</c:v>
                    </c:pt>
                    <c:pt idx="128">
                      <c:v>0</c:v>
                    </c:pt>
                    <c:pt idx="129">
                      <c:v>0</c:v>
                    </c:pt>
                    <c:pt idx="130">
                      <c:v>0</c:v>
                    </c:pt>
                    <c:pt idx="131">
                      <c:v>0</c:v>
                    </c:pt>
                    <c:pt idx="132">
                      <c:v>0</c:v>
                    </c:pt>
                    <c:pt idx="133">
                      <c:v>0</c:v>
                    </c:pt>
                    <c:pt idx="134">
                      <c:v>0</c:v>
                    </c:pt>
                    <c:pt idx="135">
                      <c:v>0</c:v>
                    </c:pt>
                    <c:pt idx="136">
                      <c:v>0</c:v>
                    </c:pt>
                    <c:pt idx="137">
                      <c:v>0</c:v>
                    </c:pt>
                    <c:pt idx="138">
                      <c:v>0</c:v>
                    </c:pt>
                    <c:pt idx="139">
                      <c:v>0</c:v>
                    </c:pt>
                    <c:pt idx="140">
                      <c:v>0</c:v>
                    </c:pt>
                    <c:pt idx="141">
                      <c:v>0</c:v>
                    </c:pt>
                    <c:pt idx="142">
                      <c:v>0</c:v>
                    </c:pt>
                    <c:pt idx="143">
                      <c:v>0</c:v>
                    </c:pt>
                    <c:pt idx="144">
                      <c:v>0</c:v>
                    </c:pt>
                    <c:pt idx="145">
                      <c:v>0</c:v>
                    </c:pt>
                    <c:pt idx="146">
                      <c:v>0</c:v>
                    </c:pt>
                    <c:pt idx="147">
                      <c:v>0</c:v>
                    </c:pt>
                    <c:pt idx="148">
                      <c:v>0</c:v>
                    </c:pt>
                    <c:pt idx="149">
                      <c:v>0</c:v>
                    </c:pt>
                    <c:pt idx="150">
                      <c:v>0</c:v>
                    </c:pt>
                    <c:pt idx="151">
                      <c:v>0</c:v>
                    </c:pt>
                    <c:pt idx="152">
                      <c:v>0</c:v>
                    </c:pt>
                    <c:pt idx="153">
                      <c:v>0</c:v>
                    </c:pt>
                    <c:pt idx="154">
                      <c:v>0</c:v>
                    </c:pt>
                    <c:pt idx="155">
                      <c:v>0</c:v>
                    </c:pt>
                    <c:pt idx="156">
                      <c:v>0</c:v>
                    </c:pt>
                    <c:pt idx="157">
                      <c:v>0</c:v>
                    </c:pt>
                    <c:pt idx="158">
                      <c:v>0</c:v>
                    </c:pt>
                    <c:pt idx="159">
                      <c:v>0</c:v>
                    </c:pt>
                    <c:pt idx="160">
                      <c:v>0</c:v>
                    </c:pt>
                    <c:pt idx="161">
                      <c:v>0</c:v>
                    </c:pt>
                    <c:pt idx="162">
                      <c:v>0</c:v>
                    </c:pt>
                    <c:pt idx="163">
                      <c:v>0</c:v>
                    </c:pt>
                    <c:pt idx="164">
                      <c:v>0</c:v>
                    </c:pt>
                    <c:pt idx="165">
                      <c:v>0</c:v>
                    </c:pt>
                    <c:pt idx="166">
                      <c:v>0</c:v>
                    </c:pt>
                    <c:pt idx="167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6EB-40F4-84DD-69589638A6F1}"/>
                  </c:ext>
                </c:extLst>
              </c15:ser>
            </c15:filteredBarSeries>
          </c:ext>
        </c:extLst>
      </c:barChart>
      <c:catAx>
        <c:axId val="251157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51155856"/>
        <c:crosses val="autoZero"/>
        <c:auto val="1"/>
        <c:lblAlgn val="ctr"/>
        <c:lblOffset val="100"/>
        <c:noMultiLvlLbl val="1"/>
      </c:catAx>
      <c:valAx>
        <c:axId val="251155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5115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loadB!$T$2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loadB!$T$3:$T$170</c:f>
              <c:numCache>
                <c:formatCode>0.00</c:formatCode>
                <c:ptCount val="168"/>
                <c:pt idx="0">
                  <c:v>1.614392816115066</c:v>
                </c:pt>
                <c:pt idx="1">
                  <c:v>0.83100805085865259</c:v>
                </c:pt>
                <c:pt idx="2">
                  <c:v>1.22356550990753</c:v>
                </c:pt>
                <c:pt idx="3">
                  <c:v>1.5019703779521836</c:v>
                </c:pt>
                <c:pt idx="4">
                  <c:v>1.5082168685415303</c:v>
                </c:pt>
                <c:pt idx="5">
                  <c:v>1.4587169260237784</c:v>
                </c:pt>
                <c:pt idx="6">
                  <c:v>1.07927851651255</c:v>
                </c:pt>
                <c:pt idx="7">
                  <c:v>0.75999953269511622</c:v>
                </c:pt>
                <c:pt idx="8">
                  <c:v>0.75312136928694551</c:v>
                </c:pt>
                <c:pt idx="9">
                  <c:v>1.9952462858051536</c:v>
                </c:pt>
                <c:pt idx="10">
                  <c:v>3.1424649408298011</c:v>
                </c:pt>
                <c:pt idx="11">
                  <c:v>4.0748848915081695</c:v>
                </c:pt>
                <c:pt idx="12">
                  <c:v>3.9128565952620962</c:v>
                </c:pt>
                <c:pt idx="13">
                  <c:v>6.0164424033930253</c:v>
                </c:pt>
                <c:pt idx="14">
                  <c:v>5.7292090581039909</c:v>
                </c:pt>
                <c:pt idx="15">
                  <c:v>2.0408053941791024</c:v>
                </c:pt>
                <c:pt idx="16">
                  <c:v>3.4979127290777008</c:v>
                </c:pt>
                <c:pt idx="17">
                  <c:v>3.2497241509305681</c:v>
                </c:pt>
                <c:pt idx="18">
                  <c:v>5.1886365960161527</c:v>
                </c:pt>
                <c:pt idx="19">
                  <c:v>2.4518311785534861</c:v>
                </c:pt>
                <c:pt idx="20">
                  <c:v>10.366960787592427</c:v>
                </c:pt>
                <c:pt idx="21">
                  <c:v>11.445768528947536</c:v>
                </c:pt>
                <c:pt idx="22">
                  <c:v>3.0174081370175685</c:v>
                </c:pt>
                <c:pt idx="23">
                  <c:v>2.5769092349321294</c:v>
                </c:pt>
                <c:pt idx="24">
                  <c:v>2.0239854083542177</c:v>
                </c:pt>
                <c:pt idx="25">
                  <c:v>0.87460528071334231</c:v>
                </c:pt>
                <c:pt idx="26">
                  <c:v>0.36893355581241749</c:v>
                </c:pt>
                <c:pt idx="27">
                  <c:v>1.2322294255504684</c:v>
                </c:pt>
                <c:pt idx="28">
                  <c:v>0.70610783998255922</c:v>
                </c:pt>
                <c:pt idx="29">
                  <c:v>0.81362082959048898</c:v>
                </c:pt>
                <c:pt idx="30">
                  <c:v>0.68232153302509913</c:v>
                </c:pt>
                <c:pt idx="31">
                  <c:v>0.60827139699280675</c:v>
                </c:pt>
                <c:pt idx="32">
                  <c:v>1.3072888062007086</c:v>
                </c:pt>
                <c:pt idx="33">
                  <c:v>1.3365654205601611</c:v>
                </c:pt>
                <c:pt idx="34">
                  <c:v>2.0254608142008479</c:v>
                </c:pt>
                <c:pt idx="35">
                  <c:v>2.3335990758103398</c:v>
                </c:pt>
                <c:pt idx="36">
                  <c:v>3.0078005040322582</c:v>
                </c:pt>
                <c:pt idx="37">
                  <c:v>5.8511888312912346</c:v>
                </c:pt>
                <c:pt idx="38">
                  <c:v>6.0384364228535343</c:v>
                </c:pt>
                <c:pt idx="39">
                  <c:v>2.6495269174768756</c:v>
                </c:pt>
                <c:pt idx="40">
                  <c:v>3.0628859248987563</c:v>
                </c:pt>
                <c:pt idx="41">
                  <c:v>3.9589946326322494</c:v>
                </c:pt>
                <c:pt idx="42">
                  <c:v>2.8765243513618044</c:v>
                </c:pt>
                <c:pt idx="43">
                  <c:v>1.7509646809258876</c:v>
                </c:pt>
                <c:pt idx="44">
                  <c:v>7.7588205843432654</c:v>
                </c:pt>
                <c:pt idx="45">
                  <c:v>5.6472956590062502</c:v>
                </c:pt>
                <c:pt idx="46">
                  <c:v>2.2482539895559555</c:v>
                </c:pt>
                <c:pt idx="47">
                  <c:v>2.6465667084022471</c:v>
                </c:pt>
                <c:pt idx="48">
                  <c:v>2.2509284005570809</c:v>
                </c:pt>
                <c:pt idx="49">
                  <c:v>0.87760542404227238</c:v>
                </c:pt>
                <c:pt idx="50">
                  <c:v>0.93471892668428003</c:v>
                </c:pt>
                <c:pt idx="51">
                  <c:v>1.3551149384976866</c:v>
                </c:pt>
                <c:pt idx="52">
                  <c:v>1.1958915502264853</c:v>
                </c:pt>
                <c:pt idx="53">
                  <c:v>1.3851170759577283</c:v>
                </c:pt>
                <c:pt idx="54">
                  <c:v>1.0506151400264201</c:v>
                </c:pt>
                <c:pt idx="55">
                  <c:v>0.57193702899021037</c:v>
                </c:pt>
                <c:pt idx="56">
                  <c:v>0.75889556559746973</c:v>
                </c:pt>
                <c:pt idx="57">
                  <c:v>1.8505067501872645</c:v>
                </c:pt>
                <c:pt idx="58">
                  <c:v>3.2835710656938906</c:v>
                </c:pt>
                <c:pt idx="59">
                  <c:v>4.3971745717842445</c:v>
                </c:pt>
                <c:pt idx="60">
                  <c:v>3.0521068523185484</c:v>
                </c:pt>
                <c:pt idx="61">
                  <c:v>5.4144824901036763</c:v>
                </c:pt>
                <c:pt idx="62">
                  <c:v>5.2714807222768325</c:v>
                </c:pt>
                <c:pt idx="63">
                  <c:v>3.7388591355320582</c:v>
                </c:pt>
                <c:pt idx="64">
                  <c:v>3.5776098265076186</c:v>
                </c:pt>
                <c:pt idx="65">
                  <c:v>5.6931925134322832</c:v>
                </c:pt>
                <c:pt idx="66">
                  <c:v>5.4049569273855518</c:v>
                </c:pt>
                <c:pt idx="67">
                  <c:v>1.6459076513406394</c:v>
                </c:pt>
                <c:pt idx="68">
                  <c:v>9.3832998694504965</c:v>
                </c:pt>
                <c:pt idx="69">
                  <c:v>10.118698599027715</c:v>
                </c:pt>
                <c:pt idx="70">
                  <c:v>4.6936580387328819</c:v>
                </c:pt>
                <c:pt idx="71">
                  <c:v>3.1400718580751867</c:v>
                </c:pt>
                <c:pt idx="72">
                  <c:v>1.7461626808077657</c:v>
                </c:pt>
                <c:pt idx="73">
                  <c:v>1.3124758632760902</c:v>
                </c:pt>
                <c:pt idx="74">
                  <c:v>1.2417831809775433</c:v>
                </c:pt>
                <c:pt idx="75">
                  <c:v>0.88051023588402011</c:v>
                </c:pt>
                <c:pt idx="76">
                  <c:v>0.79147220604122748</c:v>
                </c:pt>
                <c:pt idx="77">
                  <c:v>1.0017760667107005</c:v>
                </c:pt>
                <c:pt idx="78">
                  <c:v>1.1487739900924705</c:v>
                </c:pt>
                <c:pt idx="79">
                  <c:v>0.52720367883606478</c:v>
                </c:pt>
                <c:pt idx="80">
                  <c:v>0.57551663946843301</c:v>
                </c:pt>
                <c:pt idx="81">
                  <c:v>1.2163133693522541</c:v>
                </c:pt>
                <c:pt idx="82">
                  <c:v>4.5084719244890561</c:v>
                </c:pt>
                <c:pt idx="83">
                  <c:v>3.380499197932588</c:v>
                </c:pt>
                <c:pt idx="84">
                  <c:v>2.751424445564516</c:v>
                </c:pt>
                <c:pt idx="85">
                  <c:v>5.3176788237511783</c:v>
                </c:pt>
                <c:pt idx="86">
                  <c:v>5.9754779353692866</c:v>
                </c:pt>
                <c:pt idx="87">
                  <c:v>2.8189735517877121</c:v>
                </c:pt>
                <c:pt idx="88">
                  <c:v>2.034777222861285</c:v>
                </c:pt>
                <c:pt idx="89">
                  <c:v>3.2932555412181772</c:v>
                </c:pt>
                <c:pt idx="90">
                  <c:v>5.5137882433930647</c:v>
                </c:pt>
                <c:pt idx="91">
                  <c:v>2.1815582383194085</c:v>
                </c:pt>
                <c:pt idx="92">
                  <c:v>7.209557735648759</c:v>
                </c:pt>
                <c:pt idx="93">
                  <c:v>9.3115377545930933</c:v>
                </c:pt>
                <c:pt idx="94">
                  <c:v>3.6249590339604372</c:v>
                </c:pt>
                <c:pt idx="95">
                  <c:v>2.8303326977187719</c:v>
                </c:pt>
                <c:pt idx="96">
                  <c:v>1.4366238468769781</c:v>
                </c:pt>
                <c:pt idx="97">
                  <c:v>0.96514725627476894</c:v>
                </c:pt>
                <c:pt idx="98">
                  <c:v>0.88639418626155919</c:v>
                </c:pt>
                <c:pt idx="99">
                  <c:v>1.3304374155947971</c:v>
                </c:pt>
                <c:pt idx="100">
                  <c:v>0.82463299721434991</c:v>
                </c:pt>
                <c:pt idx="101">
                  <c:v>1.2563027985468955</c:v>
                </c:pt>
                <c:pt idx="102">
                  <c:v>0.83446001585204765</c:v>
                </c:pt>
                <c:pt idx="103">
                  <c:v>0.43662430531667473</c:v>
                </c:pt>
                <c:pt idx="104">
                  <c:v>0.67422673744723027</c:v>
                </c:pt>
                <c:pt idx="105">
                  <c:v>1.5168385987981603</c:v>
                </c:pt>
                <c:pt idx="106">
                  <c:v>2.7542905327681568</c:v>
                </c:pt>
                <c:pt idx="107">
                  <c:v>2.4400237463954237</c:v>
                </c:pt>
                <c:pt idx="108">
                  <c:v>1.829089768145161</c:v>
                </c:pt>
                <c:pt idx="109">
                  <c:v>6.152421975494816</c:v>
                </c:pt>
                <c:pt idx="110">
                  <c:v>3.944181180127762</c:v>
                </c:pt>
                <c:pt idx="111">
                  <c:v>4.1600808512314646</c:v>
                </c:pt>
                <c:pt idx="112">
                  <c:v>1.9903747804163183</c:v>
                </c:pt>
                <c:pt idx="113">
                  <c:v>3.3864387915148502</c:v>
                </c:pt>
                <c:pt idx="114">
                  <c:v>3.7044953992801624</c:v>
                </c:pt>
                <c:pt idx="115">
                  <c:v>1.891988370131924</c:v>
                </c:pt>
                <c:pt idx="116">
                  <c:v>7.2202042402049535</c:v>
                </c:pt>
                <c:pt idx="117">
                  <c:v>5.5009806978660265</c:v>
                </c:pt>
                <c:pt idx="118">
                  <c:v>3.0821883378752246</c:v>
                </c:pt>
                <c:pt idx="119">
                  <c:v>2.578097080938119</c:v>
                </c:pt>
                <c:pt idx="120">
                  <c:v>2.1344691513085969</c:v>
                </c:pt>
                <c:pt idx="121">
                  <c:v>0.95388573976221958</c:v>
                </c:pt>
                <c:pt idx="122">
                  <c:v>1.0463920713342141</c:v>
                </c:pt>
                <c:pt idx="123">
                  <c:v>0.7759255953782429</c:v>
                </c:pt>
                <c:pt idx="124">
                  <c:v>1.3662664841460166</c:v>
                </c:pt>
                <c:pt idx="125">
                  <c:v>1.1897686955085869</c:v>
                </c:pt>
                <c:pt idx="126">
                  <c:v>1.1303561248348748</c:v>
                </c:pt>
                <c:pt idx="127">
                  <c:v>0.58008464741197474</c:v>
                </c:pt>
                <c:pt idx="128">
                  <c:v>0.48683748868587862</c:v>
                </c:pt>
                <c:pt idx="129">
                  <c:v>1.1870879499094018</c:v>
                </c:pt>
                <c:pt idx="130">
                  <c:v>3.0156675711066638</c:v>
                </c:pt>
                <c:pt idx="131">
                  <c:v>2.2550894413891998</c:v>
                </c:pt>
                <c:pt idx="132">
                  <c:v>2.0009078729838707</c:v>
                </c:pt>
                <c:pt idx="133">
                  <c:v>5.3987069575871818</c:v>
                </c:pt>
                <c:pt idx="134">
                  <c:v>4.4170420793010781</c:v>
                </c:pt>
                <c:pt idx="135">
                  <c:v>3.674085260238571</c:v>
                </c:pt>
                <c:pt idx="136">
                  <c:v>2.7939877598840228</c:v>
                </c:pt>
                <c:pt idx="137">
                  <c:v>3.6659592088220725</c:v>
                </c:pt>
                <c:pt idx="138">
                  <c:v>3.0853422470619383</c:v>
                </c:pt>
                <c:pt idx="139">
                  <c:v>2.0235551311798741</c:v>
                </c:pt>
                <c:pt idx="140">
                  <c:v>6.6492978671954104</c:v>
                </c:pt>
                <c:pt idx="141">
                  <c:v>6.50397479155881</c:v>
                </c:pt>
                <c:pt idx="142">
                  <c:v>3.5431293251487066</c:v>
                </c:pt>
                <c:pt idx="143">
                  <c:v>2.2160337118889037</c:v>
                </c:pt>
                <c:pt idx="144">
                  <c:v>1.3373176470643058</c:v>
                </c:pt>
                <c:pt idx="145">
                  <c:v>0.82486414663143981</c:v>
                </c:pt>
                <c:pt idx="146">
                  <c:v>1.1531054643328931</c:v>
                </c:pt>
                <c:pt idx="147">
                  <c:v>0.71674742346728659</c:v>
                </c:pt>
                <c:pt idx="148">
                  <c:v>0.85331076685318397</c:v>
                </c:pt>
                <c:pt idx="149">
                  <c:v>0.88241681043593156</c:v>
                </c:pt>
                <c:pt idx="150">
                  <c:v>0.57442121796565404</c:v>
                </c:pt>
                <c:pt idx="151">
                  <c:v>0.4426142770836714</c:v>
                </c:pt>
                <c:pt idx="152">
                  <c:v>0.52344573907613778</c:v>
                </c:pt>
                <c:pt idx="153">
                  <c:v>1.1743806236844421</c:v>
                </c:pt>
                <c:pt idx="154">
                  <c:v>3.3827816848142955</c:v>
                </c:pt>
                <c:pt idx="155">
                  <c:v>2.0792546929610314</c:v>
                </c:pt>
                <c:pt idx="156">
                  <c:v>1.0062612021169355</c:v>
                </c:pt>
                <c:pt idx="157">
                  <c:v>3.1494641536286525</c:v>
                </c:pt>
                <c:pt idx="158">
                  <c:v>3.7826308896411716</c:v>
                </c:pt>
                <c:pt idx="159">
                  <c:v>2.0123626318526338</c:v>
                </c:pt>
                <c:pt idx="160">
                  <c:v>3.3440902081593418</c:v>
                </c:pt>
                <c:pt idx="161">
                  <c:v>2.5665266299189584</c:v>
                </c:pt>
                <c:pt idx="162">
                  <c:v>2.4247259588932755</c:v>
                </c:pt>
                <c:pt idx="163">
                  <c:v>1.6791600307016727</c:v>
                </c:pt>
                <c:pt idx="164">
                  <c:v>6.5311710861074461</c:v>
                </c:pt>
                <c:pt idx="165">
                  <c:v>2.147474266273123</c:v>
                </c:pt>
                <c:pt idx="166">
                  <c:v>2.4664360137640058</c:v>
                </c:pt>
                <c:pt idx="167">
                  <c:v>1.7111257425536033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6-40AA-915D-E11FD610945A}"/>
            </c:ext>
          </c:extLst>
        </c:ser>
        <c:ser>
          <c:idx val="1"/>
          <c:order val="1"/>
          <c:tx>
            <c:strRef>
              <c:f>loadB!$U$2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loadB!$U$3:$U$170</c:f>
              <c:numCache>
                <c:formatCode>0.00000000000000</c:formatCode>
                <c:ptCount val="168"/>
                <c:pt idx="0">
                  <c:v>1.313962183884934</c:v>
                </c:pt>
                <c:pt idx="1">
                  <c:v>1.2694029491413472</c:v>
                </c:pt>
                <c:pt idx="2">
                  <c:v>1.8690524900924699</c:v>
                </c:pt>
                <c:pt idx="3">
                  <c:v>2.3060406220478162</c:v>
                </c:pt>
                <c:pt idx="4">
                  <c:v>2.3156311314584697</c:v>
                </c:pt>
                <c:pt idx="5">
                  <c:v>2.2282570739762217</c:v>
                </c:pt>
                <c:pt idx="6">
                  <c:v>1.64864748348745</c:v>
                </c:pt>
                <c:pt idx="7">
                  <c:v>1.5862404673048838</c:v>
                </c:pt>
                <c:pt idx="8">
                  <c:v>1.5909446307130546</c:v>
                </c:pt>
                <c:pt idx="9">
                  <c:v>8.3234937141948464</c:v>
                </c:pt>
                <c:pt idx="10">
                  <c:v>6.7840640591701993</c:v>
                </c:pt>
                <c:pt idx="11">
                  <c:v>8.797005108491831</c:v>
                </c:pt>
                <c:pt idx="12">
                  <c:v>1.4969744047379032</c:v>
                </c:pt>
                <c:pt idx="13">
                  <c:v>1.3975475966069746</c:v>
                </c:pt>
                <c:pt idx="14">
                  <c:v>7.1909409418960086</c:v>
                </c:pt>
                <c:pt idx="15">
                  <c:v>4.4057626058208976</c:v>
                </c:pt>
                <c:pt idx="16">
                  <c:v>7.5514172709222986</c:v>
                </c:pt>
                <c:pt idx="17">
                  <c:v>5.945439849069432</c:v>
                </c:pt>
                <c:pt idx="18">
                  <c:v>3.2149174039838471</c:v>
                </c:pt>
                <c:pt idx="19">
                  <c:v>2.5597218214465141</c:v>
                </c:pt>
                <c:pt idx="20">
                  <c:v>2.7649392124075711</c:v>
                </c:pt>
                <c:pt idx="21">
                  <c:v>1.932051471052465</c:v>
                </c:pt>
                <c:pt idx="22">
                  <c:v>1.396806862982432</c:v>
                </c:pt>
                <c:pt idx="23">
                  <c:v>1.5297587650678706</c:v>
                </c:pt>
                <c:pt idx="24">
                  <c:v>1.6473315916457825</c:v>
                </c:pt>
                <c:pt idx="25">
                  <c:v>1.3359997192866577</c:v>
                </c:pt>
                <c:pt idx="26">
                  <c:v>0.56356294418758246</c:v>
                </c:pt>
                <c:pt idx="27">
                  <c:v>1.8918955744495314</c:v>
                </c:pt>
                <c:pt idx="28">
                  <c:v>1.0841181600174408</c:v>
                </c:pt>
                <c:pt idx="29">
                  <c:v>1.2428431704095111</c:v>
                </c:pt>
                <c:pt idx="30">
                  <c:v>1.0422774669749009</c:v>
                </c:pt>
                <c:pt idx="31">
                  <c:v>1.2695596030071934</c:v>
                </c:pt>
                <c:pt idx="32">
                  <c:v>0.48716719379929146</c:v>
                </c:pt>
                <c:pt idx="33">
                  <c:v>5.5756995794398385</c:v>
                </c:pt>
                <c:pt idx="34">
                  <c:v>4.372636185799152</c:v>
                </c:pt>
                <c:pt idx="35">
                  <c:v>5.0378559241896603</c:v>
                </c:pt>
                <c:pt idx="36">
                  <c:v>1.150719495967742</c:v>
                </c:pt>
                <c:pt idx="37">
                  <c:v>1.3591611687087652</c:v>
                </c:pt>
                <c:pt idx="38">
                  <c:v>7.5790635771464654</c:v>
                </c:pt>
                <c:pt idx="39">
                  <c:v>5.719892082523125</c:v>
                </c:pt>
                <c:pt idx="40">
                  <c:v>6.6122660751012443</c:v>
                </c:pt>
                <c:pt idx="41">
                  <c:v>7.2430653673677501</c:v>
                </c:pt>
                <c:pt idx="42">
                  <c:v>1.7823156486381957</c:v>
                </c:pt>
                <c:pt idx="43">
                  <c:v>1.828014319074112</c:v>
                </c:pt>
                <c:pt idx="44">
                  <c:v>2.0693304156567356</c:v>
                </c:pt>
                <c:pt idx="45">
                  <c:v>0.95326634099374963</c:v>
                </c:pt>
                <c:pt idx="46">
                  <c:v>1.0407530104440448</c:v>
                </c:pt>
                <c:pt idx="47">
                  <c:v>1.5711102915977531</c:v>
                </c:pt>
                <c:pt idx="48">
                  <c:v>1.8320415994429196</c:v>
                </c:pt>
                <c:pt idx="49">
                  <c:v>1.3405825759577277</c:v>
                </c:pt>
                <c:pt idx="50">
                  <c:v>1.4278260733157198</c:v>
                </c:pt>
                <c:pt idx="51">
                  <c:v>2.0805670615023133</c:v>
                </c:pt>
                <c:pt idx="52">
                  <c:v>1.8361044497735146</c:v>
                </c:pt>
                <c:pt idx="53">
                  <c:v>2.1158299240422718</c:v>
                </c:pt>
                <c:pt idx="54">
                  <c:v>1.6048628599735797</c:v>
                </c:pt>
                <c:pt idx="55">
                  <c:v>1.1937239710097896</c:v>
                </c:pt>
                <c:pt idx="56">
                  <c:v>1.6031424344025305</c:v>
                </c:pt>
                <c:pt idx="57">
                  <c:v>7.7196892498127347</c:v>
                </c:pt>
                <c:pt idx="58">
                  <c:v>7.0886889343061101</c:v>
                </c:pt>
                <c:pt idx="59">
                  <c:v>9.4927754282157562</c:v>
                </c:pt>
                <c:pt idx="60">
                  <c:v>1.1676701476814515</c:v>
                </c:pt>
                <c:pt idx="61">
                  <c:v>1.2577195098963243</c:v>
                </c:pt>
                <c:pt idx="62">
                  <c:v>6.6164292777231672</c:v>
                </c:pt>
                <c:pt idx="63">
                  <c:v>8.0715808644679417</c:v>
                </c:pt>
                <c:pt idx="64">
                  <c:v>7.7234701734923821</c:v>
                </c:pt>
                <c:pt idx="65">
                  <c:v>10.415817486567718</c:v>
                </c:pt>
                <c:pt idx="66">
                  <c:v>3.3489510726144474</c:v>
                </c:pt>
                <c:pt idx="67">
                  <c:v>1.7183343486593605</c:v>
                </c:pt>
                <c:pt idx="68">
                  <c:v>2.5025901305495033</c:v>
                </c:pt>
                <c:pt idx="69">
                  <c:v>1.7080414009722833</c:v>
                </c:pt>
                <c:pt idx="70">
                  <c:v>2.1727699612671185</c:v>
                </c:pt>
                <c:pt idx="71">
                  <c:v>1.8640751419248134</c:v>
                </c:pt>
                <c:pt idx="72">
                  <c:v>1.4212103191922345</c:v>
                </c:pt>
                <c:pt idx="73">
                  <c:v>2.0048671367239099</c:v>
                </c:pt>
                <c:pt idx="74">
                  <c:v>1.8968808190224569</c:v>
                </c:pt>
                <c:pt idx="75">
                  <c:v>1.35188576411598</c:v>
                </c:pt>
                <c:pt idx="76">
                  <c:v>1.2151817939587726</c:v>
                </c:pt>
                <c:pt idx="77">
                  <c:v>1.5302589332892995</c:v>
                </c:pt>
                <c:pt idx="78">
                  <c:v>1.7548050099075296</c:v>
                </c:pt>
                <c:pt idx="79">
                  <c:v>1.1003583211639352</c:v>
                </c:pt>
                <c:pt idx="80">
                  <c:v>1.215760360531567</c:v>
                </c:pt>
                <c:pt idx="81">
                  <c:v>5.0740486306477459</c:v>
                </c:pt>
                <c:pt idx="82">
                  <c:v>9.7330480755109434</c:v>
                </c:pt>
                <c:pt idx="83">
                  <c:v>7.2979408020674121</c:v>
                </c:pt>
                <c:pt idx="84">
                  <c:v>1.052635554435484</c:v>
                </c:pt>
                <c:pt idx="85">
                  <c:v>1.2352331762488218</c:v>
                </c:pt>
                <c:pt idx="86">
                  <c:v>7.5000420646307129</c:v>
                </c:pt>
                <c:pt idx="87">
                  <c:v>6.0856994482122886</c:v>
                </c:pt>
                <c:pt idx="88">
                  <c:v>4.3927487771387153</c:v>
                </c:pt>
                <c:pt idx="89">
                  <c:v>6.0250814587818224</c:v>
                </c:pt>
                <c:pt idx="90">
                  <c:v>3.4163837566069359</c:v>
                </c:pt>
                <c:pt idx="91">
                  <c:v>2.277555761680591</c:v>
                </c:pt>
                <c:pt idx="92">
                  <c:v>1.9228382643512405</c:v>
                </c:pt>
                <c:pt idx="93">
                  <c:v>1.5717922454069069</c:v>
                </c:pt>
                <c:pt idx="94">
                  <c:v>1.678051966039563</c:v>
                </c:pt>
                <c:pt idx="95">
                  <c:v>1.6802013022812274</c:v>
                </c:pt>
                <c:pt idx="96">
                  <c:v>1.1692751531230219</c:v>
                </c:pt>
                <c:pt idx="97">
                  <c:v>1.4743067437252311</c:v>
                </c:pt>
                <c:pt idx="98">
                  <c:v>1.3540078137384408</c:v>
                </c:pt>
                <c:pt idx="99">
                  <c:v>2.0426785844052029</c:v>
                </c:pt>
                <c:pt idx="100">
                  <c:v>1.2660950027856501</c:v>
                </c:pt>
                <c:pt idx="101">
                  <c:v>1.9190602014531044</c:v>
                </c:pt>
                <c:pt idx="102">
                  <c:v>1.2746759841479522</c:v>
                </c:pt>
                <c:pt idx="103">
                  <c:v>0.9113046946833252</c:v>
                </c:pt>
                <c:pt idx="104">
                  <c:v>1.4242822625527698</c:v>
                </c:pt>
                <c:pt idx="105">
                  <c:v>6.3277384012018398</c:v>
                </c:pt>
                <c:pt idx="106">
                  <c:v>5.9460594672318434</c:v>
                </c:pt>
                <c:pt idx="107">
                  <c:v>5.2676092536045767</c:v>
                </c:pt>
                <c:pt idx="108">
                  <c:v>0.69977023185483878</c:v>
                </c:pt>
                <c:pt idx="109">
                  <c:v>1.4291340245051838</c:v>
                </c:pt>
                <c:pt idx="110">
                  <c:v>4.9504868198722374</c:v>
                </c:pt>
                <c:pt idx="111">
                  <c:v>8.980929148768535</c:v>
                </c:pt>
                <c:pt idx="112">
                  <c:v>4.2968912195836815</c:v>
                </c:pt>
                <c:pt idx="113">
                  <c:v>6.1955622084851498</c:v>
                </c:pt>
                <c:pt idx="114">
                  <c:v>2.295332600719838</c:v>
                </c:pt>
                <c:pt idx="115">
                  <c:v>1.9752436298680758</c:v>
                </c:pt>
                <c:pt idx="116">
                  <c:v>1.9256777597950476</c:v>
                </c:pt>
                <c:pt idx="117">
                  <c:v>0.92856830213397301</c:v>
                </c:pt>
                <c:pt idx="118">
                  <c:v>1.4267946621247751</c:v>
                </c:pt>
                <c:pt idx="119">
                  <c:v>1.5304639190618807</c:v>
                </c:pt>
                <c:pt idx="120">
                  <c:v>1.737254848691403</c:v>
                </c:pt>
                <c:pt idx="121">
                  <c:v>1.4571042602377804</c:v>
                </c:pt>
                <c:pt idx="122">
                  <c:v>1.5984119286657859</c:v>
                </c:pt>
                <c:pt idx="123">
                  <c:v>1.1913124046217571</c:v>
                </c:pt>
                <c:pt idx="124">
                  <c:v>2.0976885158539833</c:v>
                </c:pt>
                <c:pt idx="125">
                  <c:v>1.817426304491413</c:v>
                </c:pt>
                <c:pt idx="126">
                  <c:v>1.7266708751651252</c:v>
                </c:pt>
                <c:pt idx="127">
                  <c:v>1.2107293525880252</c:v>
                </c:pt>
                <c:pt idx="128">
                  <c:v>1.0284285113141214</c:v>
                </c:pt>
                <c:pt idx="129">
                  <c:v>4.9521300500905978</c:v>
                </c:pt>
                <c:pt idx="130">
                  <c:v>6.5103294288933364</c:v>
                </c:pt>
                <c:pt idx="131">
                  <c:v>4.8683665586108003</c:v>
                </c:pt>
                <c:pt idx="132">
                  <c:v>0.76550412701612902</c:v>
                </c:pt>
                <c:pt idx="133">
                  <c:v>1.2540550424128181</c:v>
                </c:pt>
                <c:pt idx="134">
                  <c:v>5.5439919206989217</c:v>
                </c:pt>
                <c:pt idx="135">
                  <c:v>7.9317447397614282</c:v>
                </c:pt>
                <c:pt idx="136">
                  <c:v>6.031759240115977</c:v>
                </c:pt>
                <c:pt idx="137">
                  <c:v>6.7069507911779267</c:v>
                </c:pt>
                <c:pt idx="138">
                  <c:v>1.9117007529380614</c:v>
                </c:pt>
                <c:pt idx="139">
                  <c:v>2.1125998688201255</c:v>
                </c:pt>
                <c:pt idx="140">
                  <c:v>1.7734131328045892</c:v>
                </c:pt>
                <c:pt idx="141">
                  <c:v>1.0978742084411894</c:v>
                </c:pt>
                <c:pt idx="142">
                  <c:v>1.6401716748512936</c:v>
                </c:pt>
                <c:pt idx="143">
                  <c:v>1.3155282881110963</c:v>
                </c:pt>
                <c:pt idx="144">
                  <c:v>1.0884493529356944</c:v>
                </c:pt>
                <c:pt idx="145">
                  <c:v>1.26001785336856</c:v>
                </c:pt>
                <c:pt idx="146">
                  <c:v>1.761421535667107</c:v>
                </c:pt>
                <c:pt idx="147">
                  <c:v>1.1004535765327135</c:v>
                </c:pt>
                <c:pt idx="148">
                  <c:v>1.3101252331468158</c:v>
                </c:pt>
                <c:pt idx="149">
                  <c:v>1.3479321895640684</c:v>
                </c:pt>
                <c:pt idx="150">
                  <c:v>0.8774547820343459</c:v>
                </c:pt>
                <c:pt idx="151">
                  <c:v>0.9238067229163287</c:v>
                </c:pt>
                <c:pt idx="152">
                  <c:v>1.1057622609238622</c:v>
                </c:pt>
                <c:pt idx="153">
                  <c:v>4.899119376315558</c:v>
                </c:pt>
                <c:pt idx="154">
                  <c:v>7.3028683151857052</c:v>
                </c:pt>
                <c:pt idx="155">
                  <c:v>4.4887683070389688</c:v>
                </c:pt>
                <c:pt idx="156">
                  <c:v>0.38497379788306452</c:v>
                </c:pt>
                <c:pt idx="157">
                  <c:v>0.73158284637134774</c:v>
                </c:pt>
                <c:pt idx="158">
                  <c:v>4.7477191103588288</c:v>
                </c:pt>
                <c:pt idx="159">
                  <c:v>4.3443593681473667</c:v>
                </c:pt>
                <c:pt idx="160">
                  <c:v>7.2193397918406585</c:v>
                </c:pt>
                <c:pt idx="161">
                  <c:v>4.6955153700810417</c:v>
                </c:pt>
                <c:pt idx="162">
                  <c:v>1.5023780411067247</c:v>
                </c:pt>
                <c:pt idx="163">
                  <c:v>1.7530499692983272</c:v>
                </c:pt>
                <c:pt idx="164">
                  <c:v>1.7419079138925531</c:v>
                </c:pt>
                <c:pt idx="165">
                  <c:v>0.36249473372687663</c:v>
                </c:pt>
                <c:pt idx="166">
                  <c:v>1.1417529862359939</c:v>
                </c:pt>
                <c:pt idx="167">
                  <c:v>1.0157942574463965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6-40AA-915D-E11FD6109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952863"/>
        <c:axId val="1602960767"/>
      </c:lineChart>
      <c:catAx>
        <c:axId val="1602952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602960767"/>
        <c:crosses val="autoZero"/>
        <c:auto val="1"/>
        <c:lblAlgn val="ctr"/>
        <c:lblOffset val="100"/>
        <c:noMultiLvlLbl val="0"/>
      </c:catAx>
      <c:valAx>
        <c:axId val="160296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60295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loadB!$T$2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loadB!$T$3:$T$170</c:f>
              <c:numCache>
                <c:formatCode>0.00</c:formatCode>
                <c:ptCount val="168"/>
                <c:pt idx="0">
                  <c:v>1.614392816115066</c:v>
                </c:pt>
                <c:pt idx="1">
                  <c:v>0.83100805085865259</c:v>
                </c:pt>
                <c:pt idx="2">
                  <c:v>1.22356550990753</c:v>
                </c:pt>
                <c:pt idx="3">
                  <c:v>1.5019703779521836</c:v>
                </c:pt>
                <c:pt idx="4">
                  <c:v>1.5082168685415303</c:v>
                </c:pt>
                <c:pt idx="5">
                  <c:v>1.4587169260237784</c:v>
                </c:pt>
                <c:pt idx="6">
                  <c:v>1.07927851651255</c:v>
                </c:pt>
                <c:pt idx="7">
                  <c:v>0.75999953269511622</c:v>
                </c:pt>
                <c:pt idx="8">
                  <c:v>0.75312136928694551</c:v>
                </c:pt>
                <c:pt idx="9">
                  <c:v>1.9952462858051536</c:v>
                </c:pt>
                <c:pt idx="10">
                  <c:v>3.1424649408298011</c:v>
                </c:pt>
                <c:pt idx="11">
                  <c:v>4.0748848915081695</c:v>
                </c:pt>
                <c:pt idx="12">
                  <c:v>3.9128565952620962</c:v>
                </c:pt>
                <c:pt idx="13">
                  <c:v>6.0164424033930253</c:v>
                </c:pt>
                <c:pt idx="14">
                  <c:v>5.7292090581039909</c:v>
                </c:pt>
                <c:pt idx="15">
                  <c:v>2.0408053941791024</c:v>
                </c:pt>
                <c:pt idx="16">
                  <c:v>3.4979127290777008</c:v>
                </c:pt>
                <c:pt idx="17">
                  <c:v>3.2497241509305681</c:v>
                </c:pt>
                <c:pt idx="18">
                  <c:v>5.1886365960161527</c:v>
                </c:pt>
                <c:pt idx="19">
                  <c:v>2.4518311785534861</c:v>
                </c:pt>
                <c:pt idx="20">
                  <c:v>10.366960787592427</c:v>
                </c:pt>
                <c:pt idx="21">
                  <c:v>11.445768528947536</c:v>
                </c:pt>
                <c:pt idx="22">
                  <c:v>3.0174081370175685</c:v>
                </c:pt>
                <c:pt idx="23">
                  <c:v>2.5769092349321294</c:v>
                </c:pt>
                <c:pt idx="24">
                  <c:v>2.0239854083542177</c:v>
                </c:pt>
                <c:pt idx="25">
                  <c:v>0.87460528071334231</c:v>
                </c:pt>
                <c:pt idx="26">
                  <c:v>0.36893355581241749</c:v>
                </c:pt>
                <c:pt idx="27">
                  <c:v>1.2322294255504684</c:v>
                </c:pt>
                <c:pt idx="28">
                  <c:v>0.70610783998255922</c:v>
                </c:pt>
                <c:pt idx="29">
                  <c:v>0.81362082959048898</c:v>
                </c:pt>
                <c:pt idx="30">
                  <c:v>0.68232153302509913</c:v>
                </c:pt>
                <c:pt idx="31">
                  <c:v>0.60827139699280675</c:v>
                </c:pt>
                <c:pt idx="32">
                  <c:v>1.3072888062007086</c:v>
                </c:pt>
                <c:pt idx="33">
                  <c:v>1.3365654205601611</c:v>
                </c:pt>
                <c:pt idx="34">
                  <c:v>2.0254608142008479</c:v>
                </c:pt>
                <c:pt idx="35">
                  <c:v>2.3335990758103398</c:v>
                </c:pt>
                <c:pt idx="36">
                  <c:v>3.0078005040322582</c:v>
                </c:pt>
                <c:pt idx="37">
                  <c:v>5.8511888312912346</c:v>
                </c:pt>
                <c:pt idx="38">
                  <c:v>6.0384364228535343</c:v>
                </c:pt>
                <c:pt idx="39">
                  <c:v>2.6495269174768756</c:v>
                </c:pt>
                <c:pt idx="40">
                  <c:v>3.0628859248987563</c:v>
                </c:pt>
                <c:pt idx="41">
                  <c:v>3.9589946326322494</c:v>
                </c:pt>
                <c:pt idx="42">
                  <c:v>2.8765243513618044</c:v>
                </c:pt>
                <c:pt idx="43">
                  <c:v>1.7509646809258876</c:v>
                </c:pt>
                <c:pt idx="44">
                  <c:v>7.7588205843432654</c:v>
                </c:pt>
                <c:pt idx="45">
                  <c:v>5.6472956590062502</c:v>
                </c:pt>
                <c:pt idx="46">
                  <c:v>2.2482539895559555</c:v>
                </c:pt>
                <c:pt idx="47">
                  <c:v>2.6465667084022471</c:v>
                </c:pt>
                <c:pt idx="48">
                  <c:v>2.2509284005570809</c:v>
                </c:pt>
                <c:pt idx="49">
                  <c:v>0.87760542404227238</c:v>
                </c:pt>
                <c:pt idx="50">
                  <c:v>0.93471892668428003</c:v>
                </c:pt>
                <c:pt idx="51">
                  <c:v>1.3551149384976866</c:v>
                </c:pt>
                <c:pt idx="52">
                  <c:v>1.1958915502264853</c:v>
                </c:pt>
                <c:pt idx="53">
                  <c:v>1.3851170759577283</c:v>
                </c:pt>
                <c:pt idx="54">
                  <c:v>1.0506151400264201</c:v>
                </c:pt>
                <c:pt idx="55">
                  <c:v>0.57193702899021037</c:v>
                </c:pt>
                <c:pt idx="56">
                  <c:v>0.75889556559746973</c:v>
                </c:pt>
                <c:pt idx="57">
                  <c:v>1.8505067501872645</c:v>
                </c:pt>
                <c:pt idx="58">
                  <c:v>3.2835710656938906</c:v>
                </c:pt>
                <c:pt idx="59">
                  <c:v>4.3971745717842445</c:v>
                </c:pt>
                <c:pt idx="60">
                  <c:v>3.0521068523185484</c:v>
                </c:pt>
                <c:pt idx="61">
                  <c:v>5.4144824901036763</c:v>
                </c:pt>
                <c:pt idx="62">
                  <c:v>5.2714807222768325</c:v>
                </c:pt>
                <c:pt idx="63">
                  <c:v>3.7388591355320582</c:v>
                </c:pt>
                <c:pt idx="64">
                  <c:v>3.5776098265076186</c:v>
                </c:pt>
                <c:pt idx="65">
                  <c:v>5.6931925134322832</c:v>
                </c:pt>
                <c:pt idx="66">
                  <c:v>5.4049569273855518</c:v>
                </c:pt>
                <c:pt idx="67">
                  <c:v>1.6459076513406394</c:v>
                </c:pt>
                <c:pt idx="68">
                  <c:v>9.3832998694504965</c:v>
                </c:pt>
                <c:pt idx="69">
                  <c:v>10.118698599027715</c:v>
                </c:pt>
                <c:pt idx="70">
                  <c:v>4.6936580387328819</c:v>
                </c:pt>
                <c:pt idx="71">
                  <c:v>3.1400718580751867</c:v>
                </c:pt>
                <c:pt idx="72">
                  <c:v>1.7461626808077657</c:v>
                </c:pt>
                <c:pt idx="73">
                  <c:v>1.3124758632760902</c:v>
                </c:pt>
                <c:pt idx="74">
                  <c:v>1.2417831809775433</c:v>
                </c:pt>
                <c:pt idx="75">
                  <c:v>0.88051023588402011</c:v>
                </c:pt>
                <c:pt idx="76">
                  <c:v>0.79147220604122748</c:v>
                </c:pt>
                <c:pt idx="77">
                  <c:v>1.0017760667107005</c:v>
                </c:pt>
                <c:pt idx="78">
                  <c:v>1.1487739900924705</c:v>
                </c:pt>
                <c:pt idx="79">
                  <c:v>0.52720367883606478</c:v>
                </c:pt>
                <c:pt idx="80">
                  <c:v>0.57551663946843301</c:v>
                </c:pt>
                <c:pt idx="81">
                  <c:v>1.2163133693522541</c:v>
                </c:pt>
                <c:pt idx="82">
                  <c:v>4.5084719244890561</c:v>
                </c:pt>
                <c:pt idx="83">
                  <c:v>3.380499197932588</c:v>
                </c:pt>
                <c:pt idx="84">
                  <c:v>2.751424445564516</c:v>
                </c:pt>
                <c:pt idx="85">
                  <c:v>5.3176788237511783</c:v>
                </c:pt>
                <c:pt idx="86">
                  <c:v>5.9754779353692866</c:v>
                </c:pt>
                <c:pt idx="87">
                  <c:v>2.8189735517877121</c:v>
                </c:pt>
                <c:pt idx="88">
                  <c:v>2.034777222861285</c:v>
                </c:pt>
                <c:pt idx="89">
                  <c:v>3.2932555412181772</c:v>
                </c:pt>
                <c:pt idx="90">
                  <c:v>5.5137882433930647</c:v>
                </c:pt>
                <c:pt idx="91">
                  <c:v>2.1815582383194085</c:v>
                </c:pt>
                <c:pt idx="92">
                  <c:v>7.209557735648759</c:v>
                </c:pt>
                <c:pt idx="93">
                  <c:v>9.3115377545930933</c:v>
                </c:pt>
                <c:pt idx="94">
                  <c:v>3.6249590339604372</c:v>
                </c:pt>
                <c:pt idx="95">
                  <c:v>2.8303326977187719</c:v>
                </c:pt>
                <c:pt idx="96">
                  <c:v>1.4366238468769781</c:v>
                </c:pt>
                <c:pt idx="97">
                  <c:v>0.96514725627476894</c:v>
                </c:pt>
                <c:pt idx="98">
                  <c:v>0.88639418626155919</c:v>
                </c:pt>
                <c:pt idx="99">
                  <c:v>1.3304374155947971</c:v>
                </c:pt>
                <c:pt idx="100">
                  <c:v>0.82463299721434991</c:v>
                </c:pt>
                <c:pt idx="101">
                  <c:v>1.2563027985468955</c:v>
                </c:pt>
                <c:pt idx="102">
                  <c:v>0.83446001585204765</c:v>
                </c:pt>
                <c:pt idx="103">
                  <c:v>0.43662430531667473</c:v>
                </c:pt>
                <c:pt idx="104">
                  <c:v>0.67422673744723027</c:v>
                </c:pt>
                <c:pt idx="105">
                  <c:v>1.5168385987981603</c:v>
                </c:pt>
                <c:pt idx="106">
                  <c:v>2.7542905327681568</c:v>
                </c:pt>
                <c:pt idx="107">
                  <c:v>2.4400237463954237</c:v>
                </c:pt>
                <c:pt idx="108">
                  <c:v>1.829089768145161</c:v>
                </c:pt>
                <c:pt idx="109">
                  <c:v>6.152421975494816</c:v>
                </c:pt>
                <c:pt idx="110">
                  <c:v>3.944181180127762</c:v>
                </c:pt>
                <c:pt idx="111">
                  <c:v>4.1600808512314646</c:v>
                </c:pt>
                <c:pt idx="112">
                  <c:v>1.9903747804163183</c:v>
                </c:pt>
                <c:pt idx="113">
                  <c:v>3.3864387915148502</c:v>
                </c:pt>
                <c:pt idx="114">
                  <c:v>3.7044953992801624</c:v>
                </c:pt>
                <c:pt idx="115">
                  <c:v>1.891988370131924</c:v>
                </c:pt>
                <c:pt idx="116">
                  <c:v>7.2202042402049535</c:v>
                </c:pt>
                <c:pt idx="117">
                  <c:v>5.5009806978660265</c:v>
                </c:pt>
                <c:pt idx="118">
                  <c:v>3.0821883378752246</c:v>
                </c:pt>
                <c:pt idx="119">
                  <c:v>2.578097080938119</c:v>
                </c:pt>
                <c:pt idx="120">
                  <c:v>2.1344691513085969</c:v>
                </c:pt>
                <c:pt idx="121">
                  <c:v>0.95388573976221958</c:v>
                </c:pt>
                <c:pt idx="122">
                  <c:v>1.0463920713342141</c:v>
                </c:pt>
                <c:pt idx="123">
                  <c:v>0.7759255953782429</c:v>
                </c:pt>
                <c:pt idx="124">
                  <c:v>1.3662664841460166</c:v>
                </c:pt>
                <c:pt idx="125">
                  <c:v>1.1897686955085869</c:v>
                </c:pt>
                <c:pt idx="126">
                  <c:v>1.1303561248348748</c:v>
                </c:pt>
                <c:pt idx="127">
                  <c:v>0.58008464741197474</c:v>
                </c:pt>
                <c:pt idx="128">
                  <c:v>0.48683748868587862</c:v>
                </c:pt>
                <c:pt idx="129">
                  <c:v>1.1870879499094018</c:v>
                </c:pt>
                <c:pt idx="130">
                  <c:v>3.0156675711066638</c:v>
                </c:pt>
                <c:pt idx="131">
                  <c:v>2.2550894413891998</c:v>
                </c:pt>
                <c:pt idx="132">
                  <c:v>2.0009078729838707</c:v>
                </c:pt>
                <c:pt idx="133">
                  <c:v>5.3987069575871818</c:v>
                </c:pt>
                <c:pt idx="134">
                  <c:v>4.4170420793010781</c:v>
                </c:pt>
                <c:pt idx="135">
                  <c:v>3.674085260238571</c:v>
                </c:pt>
                <c:pt idx="136">
                  <c:v>2.7939877598840228</c:v>
                </c:pt>
                <c:pt idx="137">
                  <c:v>3.6659592088220725</c:v>
                </c:pt>
                <c:pt idx="138">
                  <c:v>3.0853422470619383</c:v>
                </c:pt>
                <c:pt idx="139">
                  <c:v>2.0235551311798741</c:v>
                </c:pt>
                <c:pt idx="140">
                  <c:v>6.6492978671954104</c:v>
                </c:pt>
                <c:pt idx="141">
                  <c:v>6.50397479155881</c:v>
                </c:pt>
                <c:pt idx="142">
                  <c:v>3.5431293251487066</c:v>
                </c:pt>
                <c:pt idx="143">
                  <c:v>2.2160337118889037</c:v>
                </c:pt>
                <c:pt idx="144">
                  <c:v>1.3373176470643058</c:v>
                </c:pt>
                <c:pt idx="145">
                  <c:v>0.82486414663143981</c:v>
                </c:pt>
                <c:pt idx="146">
                  <c:v>1.1531054643328931</c:v>
                </c:pt>
                <c:pt idx="147">
                  <c:v>0.71674742346728659</c:v>
                </c:pt>
                <c:pt idx="148">
                  <c:v>0.85331076685318397</c:v>
                </c:pt>
                <c:pt idx="149">
                  <c:v>0.88241681043593156</c:v>
                </c:pt>
                <c:pt idx="150">
                  <c:v>0.57442121796565404</c:v>
                </c:pt>
                <c:pt idx="151">
                  <c:v>0.4426142770836714</c:v>
                </c:pt>
                <c:pt idx="152">
                  <c:v>0.52344573907613778</c:v>
                </c:pt>
                <c:pt idx="153">
                  <c:v>1.1743806236844421</c:v>
                </c:pt>
                <c:pt idx="154">
                  <c:v>3.3827816848142955</c:v>
                </c:pt>
                <c:pt idx="155">
                  <c:v>2.0792546929610314</c:v>
                </c:pt>
                <c:pt idx="156">
                  <c:v>1.0062612021169355</c:v>
                </c:pt>
                <c:pt idx="157">
                  <c:v>3.1494641536286525</c:v>
                </c:pt>
                <c:pt idx="158">
                  <c:v>3.7826308896411716</c:v>
                </c:pt>
                <c:pt idx="159">
                  <c:v>2.0123626318526338</c:v>
                </c:pt>
                <c:pt idx="160">
                  <c:v>3.3440902081593418</c:v>
                </c:pt>
                <c:pt idx="161">
                  <c:v>2.5665266299189584</c:v>
                </c:pt>
                <c:pt idx="162">
                  <c:v>2.4247259588932755</c:v>
                </c:pt>
                <c:pt idx="163">
                  <c:v>1.6791600307016727</c:v>
                </c:pt>
                <c:pt idx="164">
                  <c:v>6.5311710861074461</c:v>
                </c:pt>
                <c:pt idx="165">
                  <c:v>2.147474266273123</c:v>
                </c:pt>
                <c:pt idx="166">
                  <c:v>2.4664360137640058</c:v>
                </c:pt>
                <c:pt idx="167">
                  <c:v>1.7111257425536033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C-40EB-AFA1-016CA68D173A}"/>
            </c:ext>
          </c:extLst>
        </c:ser>
        <c:ser>
          <c:idx val="1"/>
          <c:order val="1"/>
          <c:tx>
            <c:strRef>
              <c:f>loadB!$U$2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loadB!$U$3:$U$170</c:f>
              <c:numCache>
                <c:formatCode>0.00000000000000</c:formatCode>
                <c:ptCount val="168"/>
                <c:pt idx="0">
                  <c:v>1.313962183884934</c:v>
                </c:pt>
                <c:pt idx="1">
                  <c:v>1.2694029491413472</c:v>
                </c:pt>
                <c:pt idx="2">
                  <c:v>1.8690524900924699</c:v>
                </c:pt>
                <c:pt idx="3">
                  <c:v>2.3060406220478162</c:v>
                </c:pt>
                <c:pt idx="4">
                  <c:v>2.3156311314584697</c:v>
                </c:pt>
                <c:pt idx="5">
                  <c:v>2.2282570739762217</c:v>
                </c:pt>
                <c:pt idx="6">
                  <c:v>1.64864748348745</c:v>
                </c:pt>
                <c:pt idx="7">
                  <c:v>1.5862404673048838</c:v>
                </c:pt>
                <c:pt idx="8">
                  <c:v>1.5909446307130546</c:v>
                </c:pt>
                <c:pt idx="9">
                  <c:v>8.3234937141948464</c:v>
                </c:pt>
                <c:pt idx="10">
                  <c:v>6.7840640591701993</c:v>
                </c:pt>
                <c:pt idx="11">
                  <c:v>8.797005108491831</c:v>
                </c:pt>
                <c:pt idx="12">
                  <c:v>1.4969744047379032</c:v>
                </c:pt>
                <c:pt idx="13">
                  <c:v>1.3975475966069746</c:v>
                </c:pt>
                <c:pt idx="14">
                  <c:v>7.1909409418960086</c:v>
                </c:pt>
                <c:pt idx="15">
                  <c:v>4.4057626058208976</c:v>
                </c:pt>
                <c:pt idx="16">
                  <c:v>7.5514172709222986</c:v>
                </c:pt>
                <c:pt idx="17">
                  <c:v>5.945439849069432</c:v>
                </c:pt>
                <c:pt idx="18">
                  <c:v>3.2149174039838471</c:v>
                </c:pt>
                <c:pt idx="19">
                  <c:v>2.5597218214465141</c:v>
                </c:pt>
                <c:pt idx="20">
                  <c:v>2.7649392124075711</c:v>
                </c:pt>
                <c:pt idx="21">
                  <c:v>1.932051471052465</c:v>
                </c:pt>
                <c:pt idx="22">
                  <c:v>1.396806862982432</c:v>
                </c:pt>
                <c:pt idx="23">
                  <c:v>1.5297587650678706</c:v>
                </c:pt>
                <c:pt idx="24">
                  <c:v>1.6473315916457825</c:v>
                </c:pt>
                <c:pt idx="25">
                  <c:v>1.3359997192866577</c:v>
                </c:pt>
                <c:pt idx="26">
                  <c:v>0.56356294418758246</c:v>
                </c:pt>
                <c:pt idx="27">
                  <c:v>1.8918955744495314</c:v>
                </c:pt>
                <c:pt idx="28">
                  <c:v>1.0841181600174408</c:v>
                </c:pt>
                <c:pt idx="29">
                  <c:v>1.2428431704095111</c:v>
                </c:pt>
                <c:pt idx="30">
                  <c:v>1.0422774669749009</c:v>
                </c:pt>
                <c:pt idx="31">
                  <c:v>1.2695596030071934</c:v>
                </c:pt>
                <c:pt idx="32">
                  <c:v>0.48716719379929146</c:v>
                </c:pt>
                <c:pt idx="33">
                  <c:v>5.5756995794398385</c:v>
                </c:pt>
                <c:pt idx="34">
                  <c:v>4.372636185799152</c:v>
                </c:pt>
                <c:pt idx="35">
                  <c:v>5.0378559241896603</c:v>
                </c:pt>
                <c:pt idx="36">
                  <c:v>1.150719495967742</c:v>
                </c:pt>
                <c:pt idx="37">
                  <c:v>1.3591611687087652</c:v>
                </c:pt>
                <c:pt idx="38">
                  <c:v>7.5790635771464654</c:v>
                </c:pt>
                <c:pt idx="39">
                  <c:v>5.719892082523125</c:v>
                </c:pt>
                <c:pt idx="40">
                  <c:v>6.6122660751012443</c:v>
                </c:pt>
                <c:pt idx="41">
                  <c:v>7.2430653673677501</c:v>
                </c:pt>
                <c:pt idx="42">
                  <c:v>1.7823156486381957</c:v>
                </c:pt>
                <c:pt idx="43">
                  <c:v>1.828014319074112</c:v>
                </c:pt>
                <c:pt idx="44">
                  <c:v>2.0693304156567356</c:v>
                </c:pt>
                <c:pt idx="45">
                  <c:v>0.95326634099374963</c:v>
                </c:pt>
                <c:pt idx="46">
                  <c:v>1.0407530104440448</c:v>
                </c:pt>
                <c:pt idx="47">
                  <c:v>1.5711102915977531</c:v>
                </c:pt>
                <c:pt idx="48">
                  <c:v>1.8320415994429196</c:v>
                </c:pt>
                <c:pt idx="49">
                  <c:v>1.3405825759577277</c:v>
                </c:pt>
                <c:pt idx="50">
                  <c:v>1.4278260733157198</c:v>
                </c:pt>
                <c:pt idx="51">
                  <c:v>2.0805670615023133</c:v>
                </c:pt>
                <c:pt idx="52">
                  <c:v>1.8361044497735146</c:v>
                </c:pt>
                <c:pt idx="53">
                  <c:v>2.1158299240422718</c:v>
                </c:pt>
                <c:pt idx="54">
                  <c:v>1.6048628599735797</c:v>
                </c:pt>
                <c:pt idx="55">
                  <c:v>1.1937239710097896</c:v>
                </c:pt>
                <c:pt idx="56">
                  <c:v>1.6031424344025305</c:v>
                </c:pt>
                <c:pt idx="57">
                  <c:v>7.7196892498127347</c:v>
                </c:pt>
                <c:pt idx="58">
                  <c:v>7.0886889343061101</c:v>
                </c:pt>
                <c:pt idx="59">
                  <c:v>9.4927754282157562</c:v>
                </c:pt>
                <c:pt idx="60">
                  <c:v>1.1676701476814515</c:v>
                </c:pt>
                <c:pt idx="61">
                  <c:v>1.2577195098963243</c:v>
                </c:pt>
                <c:pt idx="62">
                  <c:v>6.6164292777231672</c:v>
                </c:pt>
                <c:pt idx="63">
                  <c:v>8.0715808644679417</c:v>
                </c:pt>
                <c:pt idx="64">
                  <c:v>7.7234701734923821</c:v>
                </c:pt>
                <c:pt idx="65">
                  <c:v>10.415817486567718</c:v>
                </c:pt>
                <c:pt idx="66">
                  <c:v>3.3489510726144474</c:v>
                </c:pt>
                <c:pt idx="67">
                  <c:v>1.7183343486593605</c:v>
                </c:pt>
                <c:pt idx="68">
                  <c:v>2.5025901305495033</c:v>
                </c:pt>
                <c:pt idx="69">
                  <c:v>1.7080414009722833</c:v>
                </c:pt>
                <c:pt idx="70">
                  <c:v>2.1727699612671185</c:v>
                </c:pt>
                <c:pt idx="71">
                  <c:v>1.8640751419248134</c:v>
                </c:pt>
                <c:pt idx="72">
                  <c:v>1.4212103191922345</c:v>
                </c:pt>
                <c:pt idx="73">
                  <c:v>2.0048671367239099</c:v>
                </c:pt>
                <c:pt idx="74">
                  <c:v>1.8968808190224569</c:v>
                </c:pt>
                <c:pt idx="75">
                  <c:v>1.35188576411598</c:v>
                </c:pt>
                <c:pt idx="76">
                  <c:v>1.2151817939587726</c:v>
                </c:pt>
                <c:pt idx="77">
                  <c:v>1.5302589332892995</c:v>
                </c:pt>
                <c:pt idx="78">
                  <c:v>1.7548050099075296</c:v>
                </c:pt>
                <c:pt idx="79">
                  <c:v>1.1003583211639352</c:v>
                </c:pt>
                <c:pt idx="80">
                  <c:v>1.215760360531567</c:v>
                </c:pt>
                <c:pt idx="81">
                  <c:v>5.0740486306477459</c:v>
                </c:pt>
                <c:pt idx="82">
                  <c:v>9.7330480755109434</c:v>
                </c:pt>
                <c:pt idx="83">
                  <c:v>7.2979408020674121</c:v>
                </c:pt>
                <c:pt idx="84">
                  <c:v>1.052635554435484</c:v>
                </c:pt>
                <c:pt idx="85">
                  <c:v>1.2352331762488218</c:v>
                </c:pt>
                <c:pt idx="86">
                  <c:v>7.5000420646307129</c:v>
                </c:pt>
                <c:pt idx="87">
                  <c:v>6.0856994482122886</c:v>
                </c:pt>
                <c:pt idx="88">
                  <c:v>4.3927487771387153</c:v>
                </c:pt>
                <c:pt idx="89">
                  <c:v>6.0250814587818224</c:v>
                </c:pt>
                <c:pt idx="90">
                  <c:v>3.4163837566069359</c:v>
                </c:pt>
                <c:pt idx="91">
                  <c:v>2.277555761680591</c:v>
                </c:pt>
                <c:pt idx="92">
                  <c:v>1.9228382643512405</c:v>
                </c:pt>
                <c:pt idx="93">
                  <c:v>1.5717922454069069</c:v>
                </c:pt>
                <c:pt idx="94">
                  <c:v>1.678051966039563</c:v>
                </c:pt>
                <c:pt idx="95">
                  <c:v>1.6802013022812274</c:v>
                </c:pt>
                <c:pt idx="96">
                  <c:v>1.1692751531230219</c:v>
                </c:pt>
                <c:pt idx="97">
                  <c:v>1.4743067437252311</c:v>
                </c:pt>
                <c:pt idx="98">
                  <c:v>1.3540078137384408</c:v>
                </c:pt>
                <c:pt idx="99">
                  <c:v>2.0426785844052029</c:v>
                </c:pt>
                <c:pt idx="100">
                  <c:v>1.2660950027856501</c:v>
                </c:pt>
                <c:pt idx="101">
                  <c:v>1.9190602014531044</c:v>
                </c:pt>
                <c:pt idx="102">
                  <c:v>1.2746759841479522</c:v>
                </c:pt>
                <c:pt idx="103">
                  <c:v>0.9113046946833252</c:v>
                </c:pt>
                <c:pt idx="104">
                  <c:v>1.4242822625527698</c:v>
                </c:pt>
                <c:pt idx="105">
                  <c:v>6.3277384012018398</c:v>
                </c:pt>
                <c:pt idx="106">
                  <c:v>5.9460594672318434</c:v>
                </c:pt>
                <c:pt idx="107">
                  <c:v>5.2676092536045767</c:v>
                </c:pt>
                <c:pt idx="108">
                  <c:v>0.69977023185483878</c:v>
                </c:pt>
                <c:pt idx="109">
                  <c:v>1.4291340245051838</c:v>
                </c:pt>
                <c:pt idx="110">
                  <c:v>4.9504868198722374</c:v>
                </c:pt>
                <c:pt idx="111">
                  <c:v>8.980929148768535</c:v>
                </c:pt>
                <c:pt idx="112">
                  <c:v>4.2968912195836815</c:v>
                </c:pt>
                <c:pt idx="113">
                  <c:v>6.1955622084851498</c:v>
                </c:pt>
                <c:pt idx="114">
                  <c:v>2.295332600719838</c:v>
                </c:pt>
                <c:pt idx="115">
                  <c:v>1.9752436298680758</c:v>
                </c:pt>
                <c:pt idx="116">
                  <c:v>1.9256777597950476</c:v>
                </c:pt>
                <c:pt idx="117">
                  <c:v>0.92856830213397301</c:v>
                </c:pt>
                <c:pt idx="118">
                  <c:v>1.4267946621247751</c:v>
                </c:pt>
                <c:pt idx="119">
                  <c:v>1.5304639190618807</c:v>
                </c:pt>
                <c:pt idx="120">
                  <c:v>1.737254848691403</c:v>
                </c:pt>
                <c:pt idx="121">
                  <c:v>1.4571042602377804</c:v>
                </c:pt>
                <c:pt idx="122">
                  <c:v>1.5984119286657859</c:v>
                </c:pt>
                <c:pt idx="123">
                  <c:v>1.1913124046217571</c:v>
                </c:pt>
                <c:pt idx="124">
                  <c:v>2.0976885158539833</c:v>
                </c:pt>
                <c:pt idx="125">
                  <c:v>1.817426304491413</c:v>
                </c:pt>
                <c:pt idx="126">
                  <c:v>1.7266708751651252</c:v>
                </c:pt>
                <c:pt idx="127">
                  <c:v>1.2107293525880252</c:v>
                </c:pt>
                <c:pt idx="128">
                  <c:v>1.0284285113141214</c:v>
                </c:pt>
                <c:pt idx="129">
                  <c:v>4.9521300500905978</c:v>
                </c:pt>
                <c:pt idx="130">
                  <c:v>6.5103294288933364</c:v>
                </c:pt>
                <c:pt idx="131">
                  <c:v>4.8683665586108003</c:v>
                </c:pt>
                <c:pt idx="132">
                  <c:v>0.76550412701612902</c:v>
                </c:pt>
                <c:pt idx="133">
                  <c:v>1.2540550424128181</c:v>
                </c:pt>
                <c:pt idx="134">
                  <c:v>5.5439919206989217</c:v>
                </c:pt>
                <c:pt idx="135">
                  <c:v>7.9317447397614282</c:v>
                </c:pt>
                <c:pt idx="136">
                  <c:v>6.031759240115977</c:v>
                </c:pt>
                <c:pt idx="137">
                  <c:v>6.7069507911779267</c:v>
                </c:pt>
                <c:pt idx="138">
                  <c:v>1.9117007529380614</c:v>
                </c:pt>
                <c:pt idx="139">
                  <c:v>2.1125998688201255</c:v>
                </c:pt>
                <c:pt idx="140">
                  <c:v>1.7734131328045892</c:v>
                </c:pt>
                <c:pt idx="141">
                  <c:v>1.0978742084411894</c:v>
                </c:pt>
                <c:pt idx="142">
                  <c:v>1.6401716748512936</c:v>
                </c:pt>
                <c:pt idx="143">
                  <c:v>1.3155282881110963</c:v>
                </c:pt>
                <c:pt idx="144">
                  <c:v>1.0884493529356944</c:v>
                </c:pt>
                <c:pt idx="145">
                  <c:v>1.26001785336856</c:v>
                </c:pt>
                <c:pt idx="146">
                  <c:v>1.761421535667107</c:v>
                </c:pt>
                <c:pt idx="147">
                  <c:v>1.1004535765327135</c:v>
                </c:pt>
                <c:pt idx="148">
                  <c:v>1.3101252331468158</c:v>
                </c:pt>
                <c:pt idx="149">
                  <c:v>1.3479321895640684</c:v>
                </c:pt>
                <c:pt idx="150">
                  <c:v>0.8774547820343459</c:v>
                </c:pt>
                <c:pt idx="151">
                  <c:v>0.9238067229163287</c:v>
                </c:pt>
                <c:pt idx="152">
                  <c:v>1.1057622609238622</c:v>
                </c:pt>
                <c:pt idx="153">
                  <c:v>4.899119376315558</c:v>
                </c:pt>
                <c:pt idx="154">
                  <c:v>7.3028683151857052</c:v>
                </c:pt>
                <c:pt idx="155">
                  <c:v>4.4887683070389688</c:v>
                </c:pt>
                <c:pt idx="156">
                  <c:v>0.38497379788306452</c:v>
                </c:pt>
                <c:pt idx="157">
                  <c:v>0.73158284637134774</c:v>
                </c:pt>
                <c:pt idx="158">
                  <c:v>4.7477191103588288</c:v>
                </c:pt>
                <c:pt idx="159">
                  <c:v>4.3443593681473667</c:v>
                </c:pt>
                <c:pt idx="160">
                  <c:v>7.2193397918406585</c:v>
                </c:pt>
                <c:pt idx="161">
                  <c:v>4.6955153700810417</c:v>
                </c:pt>
                <c:pt idx="162">
                  <c:v>1.5023780411067247</c:v>
                </c:pt>
                <c:pt idx="163">
                  <c:v>1.7530499692983272</c:v>
                </c:pt>
                <c:pt idx="164">
                  <c:v>1.7419079138925531</c:v>
                </c:pt>
                <c:pt idx="165">
                  <c:v>0.36249473372687663</c:v>
                </c:pt>
                <c:pt idx="166">
                  <c:v>1.1417529862359939</c:v>
                </c:pt>
                <c:pt idx="167">
                  <c:v>1.0157942574463965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BC-40EB-AFA1-016CA68D1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1001855"/>
        <c:axId val="2011002271"/>
      </c:lineChart>
      <c:catAx>
        <c:axId val="20110018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11002271"/>
        <c:crosses val="autoZero"/>
        <c:auto val="1"/>
        <c:lblAlgn val="ctr"/>
        <c:lblOffset val="100"/>
        <c:noMultiLvlLbl val="0"/>
      </c:catAx>
      <c:valAx>
        <c:axId val="201100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11001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Linear Fuel Curve</a:t>
            </a:r>
          </a:p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DieselGenerator!$I$2</c:f>
              <c:strCache>
                <c:ptCount val="1"/>
                <c:pt idx="0">
                  <c:v>Fuel Consumption [L/hr]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DieselGenerator!$H$3:$H$5</c:f>
              <c:numCache>
                <c:formatCode>General</c:formatCode>
                <c:ptCount val="3"/>
                <c:pt idx="0">
                  <c:v>7.5</c:v>
                </c:pt>
                <c:pt idx="1">
                  <c:v>15</c:v>
                </c:pt>
                <c:pt idx="2">
                  <c:v>0</c:v>
                </c:pt>
              </c:numCache>
            </c:numRef>
          </c:xVal>
          <c:yVal>
            <c:numRef>
              <c:f>DieselGenerator!$I$3:$I$5</c:f>
              <c:numCache>
                <c:formatCode>General</c:formatCode>
                <c:ptCount val="3"/>
                <c:pt idx="0">
                  <c:v>2.5</c:v>
                </c:pt>
                <c:pt idx="1">
                  <c:v>4.8</c:v>
                </c:pt>
                <c:pt idx="2">
                  <c:v>0.20000000000000018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EE-4523-9D58-4EDFC8D21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999008"/>
        <c:axId val="1887005664"/>
      </c:scatterChart>
      <c:valAx>
        <c:axId val="188699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Output Power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87005664"/>
        <c:crosses val="autoZero"/>
        <c:crossBetween val="midCat"/>
      </c:valAx>
      <c:valAx>
        <c:axId val="18870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Consumption [L/hr]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8699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</xdr:colOff>
      <xdr:row>69</xdr:row>
      <xdr:rowOff>160020</xdr:rowOff>
    </xdr:from>
    <xdr:to>
      <xdr:col>24</xdr:col>
      <xdr:colOff>189402</xdr:colOff>
      <xdr:row>90</xdr:row>
      <xdr:rowOff>99916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07E3F-224F-4E9C-941A-D7CE95CDEE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912495</xdr:colOff>
      <xdr:row>1</xdr:row>
      <xdr:rowOff>136207</xdr:rowOff>
    </xdr:from>
    <xdr:to>
      <xdr:col>34</xdr:col>
      <xdr:colOff>274320</xdr:colOff>
      <xdr:row>16</xdr:row>
      <xdr:rowOff>132397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830C91-7B3D-4FBA-A1E2-D0E22B9952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805815</xdr:colOff>
      <xdr:row>17</xdr:row>
      <xdr:rowOff>12382</xdr:rowOff>
    </xdr:from>
    <xdr:to>
      <xdr:col>34</xdr:col>
      <xdr:colOff>64770</xdr:colOff>
      <xdr:row>32</xdr:row>
      <xdr:rowOff>40957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14CA8D-3B40-4A02-8E39-E6D9A91AAC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10</xdr:row>
      <xdr:rowOff>152400</xdr:rowOff>
    </xdr:from>
    <xdr:to>
      <xdr:col>12</xdr:col>
      <xdr:colOff>160020</xdr:colOff>
      <xdr:row>25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27CCFD-DCC6-4AD3-912E-D5EDB1B67D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ablesales.com.au/blog/diesel-generator-fuel-consumption-chart-in-litr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1"/>
  <sheetViews>
    <sheetView tabSelected="1" workbookViewId="0">
      <selection activeCell="K25" sqref="K25"/>
    </sheetView>
  </sheetViews>
  <sheetFormatPr defaultColWidth="9.109375" defaultRowHeight="14.4" x14ac:dyDescent="0.3"/>
  <cols>
    <col min="1" max="1" width="4.6640625" style="1" customWidth="1"/>
    <col min="2" max="2" width="18.33203125" style="1" customWidth="1"/>
    <col min="3" max="3" width="51.109375" style="1" customWidth="1"/>
    <col min="4" max="4" width="2.6640625" style="1" customWidth="1"/>
    <col min="5" max="5" width="9.109375" style="10"/>
    <col min="6" max="6" width="1.6640625" style="10" customWidth="1"/>
    <col min="7" max="7" width="9.109375" style="10"/>
    <col min="8" max="9" width="2.44140625" style="1" customWidth="1"/>
    <col min="10" max="13" width="9.109375" style="1"/>
    <col min="14" max="18" width="5.33203125" style="1" customWidth="1"/>
    <col min="19" max="24" width="33" style="1" customWidth="1"/>
    <col min="25" max="25" width="15.109375" style="1" customWidth="1"/>
    <col min="26" max="16384" width="9.109375" style="1"/>
  </cols>
  <sheetData>
    <row r="1" spans="2:13" ht="15" thickBot="1" x14ac:dyDescent="0.35"/>
    <row r="2" spans="2:13" x14ac:dyDescent="0.3">
      <c r="B2" s="39" t="s">
        <v>1</v>
      </c>
      <c r="C2" s="40"/>
      <c r="D2" s="40"/>
      <c r="E2" s="42"/>
      <c r="F2" s="42"/>
      <c r="G2" s="42"/>
      <c r="H2" s="43"/>
    </row>
    <row r="3" spans="2:13" x14ac:dyDescent="0.3">
      <c r="B3" s="2"/>
      <c r="C3" s="3"/>
      <c r="D3" s="3"/>
      <c r="E3" s="11"/>
      <c r="F3" s="11"/>
      <c r="G3" s="11"/>
      <c r="H3" s="4"/>
    </row>
    <row r="4" spans="2:13" x14ac:dyDescent="0.3">
      <c r="B4" s="2" t="s">
        <v>7</v>
      </c>
      <c r="C4" s="5" t="s">
        <v>8</v>
      </c>
      <c r="D4" s="3" t="s">
        <v>0</v>
      </c>
      <c r="E4" s="12" t="s">
        <v>44</v>
      </c>
      <c r="F4" s="12" t="s">
        <v>5</v>
      </c>
      <c r="G4" s="12" t="s">
        <v>45</v>
      </c>
      <c r="H4" s="14" t="s">
        <v>0</v>
      </c>
      <c r="K4" s="12" t="s">
        <v>46</v>
      </c>
      <c r="L4" s="12" t="s">
        <v>47</v>
      </c>
      <c r="M4" s="12"/>
    </row>
    <row r="5" spans="2:13" x14ac:dyDescent="0.3">
      <c r="B5" s="13"/>
      <c r="C5" s="9"/>
      <c r="D5" s="9"/>
      <c r="E5" s="12"/>
      <c r="F5" s="12"/>
      <c r="G5" s="12"/>
      <c r="H5" s="14"/>
      <c r="J5" s="19"/>
    </row>
    <row r="6" spans="2:13" x14ac:dyDescent="0.3">
      <c r="B6" s="2" t="s">
        <v>261</v>
      </c>
      <c r="C6" s="5" t="s">
        <v>9</v>
      </c>
      <c r="D6" s="3" t="s">
        <v>0</v>
      </c>
      <c r="E6" s="12" t="s">
        <v>41</v>
      </c>
      <c r="F6" s="12" t="s">
        <v>5</v>
      </c>
      <c r="G6" s="12" t="s">
        <v>42</v>
      </c>
      <c r="H6" s="14" t="s">
        <v>0</v>
      </c>
      <c r="J6" s="1" t="s">
        <v>351</v>
      </c>
    </row>
    <row r="7" spans="2:13" x14ac:dyDescent="0.3">
      <c r="B7" s="2"/>
      <c r="C7" s="5"/>
      <c r="D7" s="3"/>
      <c r="E7" s="12"/>
      <c r="F7" s="12"/>
      <c r="G7" s="12"/>
      <c r="H7" s="14"/>
    </row>
    <row r="8" spans="2:13" x14ac:dyDescent="0.3">
      <c r="B8" s="158" t="s">
        <v>348</v>
      </c>
      <c r="C8" s="159" t="s">
        <v>347</v>
      </c>
      <c r="D8" s="159" t="s">
        <v>0</v>
      </c>
      <c r="E8" s="160" t="s">
        <v>44</v>
      </c>
      <c r="F8" s="160" t="s">
        <v>5</v>
      </c>
      <c r="G8" s="160" t="s">
        <v>70</v>
      </c>
      <c r="H8" s="161" t="s">
        <v>0</v>
      </c>
      <c r="J8" s="1" t="s">
        <v>352</v>
      </c>
    </row>
    <row r="9" spans="2:13" x14ac:dyDescent="0.3">
      <c r="B9" s="158"/>
      <c r="C9" s="159"/>
      <c r="D9" s="159"/>
      <c r="E9" s="160"/>
      <c r="F9" s="160"/>
      <c r="G9" s="160"/>
      <c r="H9" s="161"/>
    </row>
    <row r="10" spans="2:13" x14ac:dyDescent="0.3">
      <c r="B10" s="158" t="s">
        <v>349</v>
      </c>
      <c r="C10" s="159" t="s">
        <v>347</v>
      </c>
      <c r="D10" s="159" t="s">
        <v>0</v>
      </c>
      <c r="E10" s="160" t="s">
        <v>71</v>
      </c>
      <c r="F10" s="160" t="s">
        <v>5</v>
      </c>
      <c r="G10" s="160" t="s">
        <v>94</v>
      </c>
      <c r="H10" s="161" t="s">
        <v>0</v>
      </c>
      <c r="J10" s="1" t="s">
        <v>352</v>
      </c>
    </row>
    <row r="11" spans="2:13" ht="15" thickBot="1" x14ac:dyDescent="0.35">
      <c r="B11" s="162"/>
      <c r="C11" s="163"/>
      <c r="D11" s="163"/>
      <c r="E11" s="164"/>
      <c r="F11" s="165"/>
      <c r="G11" s="164"/>
      <c r="H11" s="16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02"/>
  <sheetViews>
    <sheetView topLeftCell="B1" workbookViewId="0">
      <selection activeCell="P10" sqref="P10"/>
    </sheetView>
  </sheetViews>
  <sheetFormatPr defaultColWidth="9.109375" defaultRowHeight="14.4" x14ac:dyDescent="0.3"/>
  <cols>
    <col min="1" max="1" width="4.6640625" style="1" customWidth="1"/>
    <col min="2" max="2" width="53" style="1" customWidth="1"/>
    <col min="3" max="3" width="2.109375" style="1" customWidth="1"/>
    <col min="4" max="4" width="11.6640625" style="1" customWidth="1"/>
    <col min="5" max="5" width="2.109375" style="1" customWidth="1"/>
    <col min="6" max="10" width="9.109375" style="1"/>
    <col min="11" max="15" width="5.33203125" style="1" customWidth="1"/>
    <col min="16" max="21" width="33" style="1" customWidth="1"/>
    <col min="22" max="22" width="15.109375" style="1" customWidth="1"/>
    <col min="23" max="16384" width="9.109375" style="1"/>
  </cols>
  <sheetData>
    <row r="1" spans="2:14" ht="15" thickBot="1" x14ac:dyDescent="0.35"/>
    <row r="2" spans="2:14" x14ac:dyDescent="0.3">
      <c r="B2" s="39" t="s">
        <v>4</v>
      </c>
      <c r="C2" s="40"/>
      <c r="D2" s="40"/>
      <c r="E2" s="41"/>
      <c r="F2" s="47"/>
      <c r="G2" s="46" t="s">
        <v>33</v>
      </c>
      <c r="H2" s="47"/>
      <c r="I2" s="47"/>
      <c r="J2" s="47"/>
      <c r="K2" s="47"/>
      <c r="L2" s="47"/>
      <c r="M2" s="47"/>
      <c r="N2" s="47"/>
    </row>
    <row r="3" spans="2:14" x14ac:dyDescent="0.3">
      <c r="B3" s="2"/>
      <c r="C3" s="3"/>
      <c r="D3" s="3"/>
      <c r="E3" s="6"/>
      <c r="M3" s="9"/>
      <c r="N3" s="57"/>
    </row>
    <row r="4" spans="2:14" x14ac:dyDescent="0.3">
      <c r="B4" s="52" t="s">
        <v>233</v>
      </c>
      <c r="C4" s="3"/>
      <c r="D4" s="8"/>
      <c r="E4" s="6"/>
      <c r="M4" s="9"/>
      <c r="N4" s="57"/>
    </row>
    <row r="5" spans="2:14" x14ac:dyDescent="0.3">
      <c r="B5" s="2" t="s">
        <v>10</v>
      </c>
      <c r="C5" s="3" t="s">
        <v>2</v>
      </c>
      <c r="D5" s="20">
        <v>1</v>
      </c>
      <c r="E5" s="6" t="s">
        <v>3</v>
      </c>
      <c r="F5" s="18" t="s">
        <v>353</v>
      </c>
      <c r="M5" s="9"/>
      <c r="N5" s="57"/>
    </row>
    <row r="6" spans="2:14" x14ac:dyDescent="0.3">
      <c r="B6" s="2"/>
      <c r="C6" s="3"/>
      <c r="D6" s="22"/>
      <c r="E6" s="6"/>
      <c r="F6" s="18"/>
      <c r="M6" s="9"/>
      <c r="N6" s="57"/>
    </row>
    <row r="7" spans="2:14" x14ac:dyDescent="0.3">
      <c r="B7" s="52" t="s">
        <v>14</v>
      </c>
      <c r="C7" s="3"/>
      <c r="D7" s="22"/>
      <c r="E7" s="6"/>
      <c r="F7" s="18"/>
      <c r="M7" s="9"/>
      <c r="N7" s="57"/>
    </row>
    <row r="8" spans="2:14" x14ac:dyDescent="0.3">
      <c r="B8" s="2" t="s">
        <v>11</v>
      </c>
      <c r="C8" s="3" t="s">
        <v>2</v>
      </c>
      <c r="D8" s="51">
        <v>5.0000000000000004E-6</v>
      </c>
      <c r="E8" s="6" t="s">
        <v>3</v>
      </c>
      <c r="F8" s="18" t="s">
        <v>214</v>
      </c>
      <c r="M8" s="9"/>
      <c r="N8" s="57"/>
    </row>
    <row r="9" spans="2:14" x14ac:dyDescent="0.3">
      <c r="B9" s="2"/>
      <c r="C9" s="3"/>
      <c r="D9" s="22"/>
      <c r="E9" s="6"/>
      <c r="F9" s="18"/>
      <c r="M9" s="9"/>
      <c r="N9" s="57"/>
    </row>
    <row r="10" spans="2:14" x14ac:dyDescent="0.3">
      <c r="B10" s="52" t="s">
        <v>13</v>
      </c>
      <c r="C10" s="3"/>
      <c r="D10" s="22"/>
      <c r="E10" s="6"/>
      <c r="F10" s="18"/>
      <c r="M10" s="9"/>
      <c r="N10" s="57"/>
    </row>
    <row r="11" spans="2:14" x14ac:dyDescent="0.3">
      <c r="B11" s="2" t="s">
        <v>12</v>
      </c>
      <c r="C11" s="3" t="s">
        <v>2</v>
      </c>
      <c r="D11" s="51">
        <v>3.9999999999999998E-6</v>
      </c>
      <c r="E11" s="6" t="s">
        <v>3</v>
      </c>
      <c r="M11" s="9"/>
      <c r="N11" s="57"/>
    </row>
    <row r="12" spans="2:14" x14ac:dyDescent="0.3">
      <c r="B12" s="2"/>
      <c r="C12" s="3"/>
      <c r="D12" s="16"/>
      <c r="E12" s="6"/>
      <c r="F12" s="18"/>
      <c r="M12" s="9"/>
      <c r="N12" s="57"/>
    </row>
    <row r="13" spans="2:14" x14ac:dyDescent="0.3">
      <c r="B13" s="52" t="s">
        <v>336</v>
      </c>
      <c r="C13" s="3"/>
      <c r="D13" s="16"/>
      <c r="E13" s="6"/>
      <c r="F13" s="18"/>
      <c r="M13" s="9"/>
      <c r="N13" s="57"/>
    </row>
    <row r="14" spans="2:14" x14ac:dyDescent="0.3">
      <c r="B14" s="79" t="s">
        <v>6</v>
      </c>
      <c r="C14" s="3" t="s">
        <v>2</v>
      </c>
      <c r="D14" s="21">
        <v>1</v>
      </c>
      <c r="E14" s="6" t="s">
        <v>3</v>
      </c>
      <c r="F14" s="18" t="s">
        <v>330</v>
      </c>
      <c r="K14" s="1" t="s">
        <v>341</v>
      </c>
      <c r="M14" s="9"/>
      <c r="N14" s="57"/>
    </row>
    <row r="15" spans="2:14" x14ac:dyDescent="0.3">
      <c r="B15" s="79"/>
      <c r="C15" s="3"/>
      <c r="D15" s="16"/>
      <c r="E15" s="6"/>
      <c r="F15" s="18"/>
      <c r="M15" s="9"/>
      <c r="N15" s="57"/>
    </row>
    <row r="16" spans="2:14" x14ac:dyDescent="0.3">
      <c r="B16" s="52" t="s">
        <v>327</v>
      </c>
      <c r="C16" s="3"/>
      <c r="D16" s="16"/>
      <c r="E16" s="6"/>
      <c r="F16" s="18"/>
      <c r="M16" s="9"/>
      <c r="N16" s="57"/>
    </row>
    <row r="17" spans="2:14" x14ac:dyDescent="0.3">
      <c r="B17" s="2" t="s">
        <v>326</v>
      </c>
      <c r="C17" s="3" t="s">
        <v>2</v>
      </c>
      <c r="D17" s="21">
        <v>0</v>
      </c>
      <c r="E17" s="6" t="s">
        <v>3</v>
      </c>
      <c r="F17" s="18" t="s">
        <v>354</v>
      </c>
      <c r="M17" s="9"/>
      <c r="N17" s="57"/>
    </row>
    <row r="18" spans="2:14" x14ac:dyDescent="0.3">
      <c r="B18" s="2"/>
      <c r="C18" s="3"/>
      <c r="D18" s="16"/>
      <c r="E18" s="6"/>
      <c r="F18" s="18"/>
      <c r="M18" s="9"/>
      <c r="N18" s="57"/>
    </row>
    <row r="19" spans="2:14" x14ac:dyDescent="0.3">
      <c r="B19" s="52" t="s">
        <v>17</v>
      </c>
      <c r="C19" s="3"/>
      <c r="D19" s="16"/>
      <c r="E19" s="6"/>
      <c r="F19" s="18"/>
      <c r="M19" s="9"/>
      <c r="N19" s="57"/>
    </row>
    <row r="20" spans="2:14" x14ac:dyDescent="0.3">
      <c r="B20" s="2" t="s">
        <v>18</v>
      </c>
      <c r="C20" s="3" t="s">
        <v>2</v>
      </c>
      <c r="D20" s="21">
        <v>2</v>
      </c>
      <c r="E20" s="6" t="s">
        <v>3</v>
      </c>
      <c r="F20" s="18" t="s">
        <v>231</v>
      </c>
      <c r="M20" s="9"/>
      <c r="N20" s="57"/>
    </row>
    <row r="21" spans="2:14" x14ac:dyDescent="0.3">
      <c r="B21" s="2"/>
      <c r="C21" s="3"/>
      <c r="D21" s="16"/>
      <c r="E21" s="6"/>
      <c r="F21" s="18"/>
      <c r="M21" s="9"/>
      <c r="N21" s="57"/>
    </row>
    <row r="22" spans="2:14" x14ac:dyDescent="0.3">
      <c r="B22" s="52" t="s">
        <v>19</v>
      </c>
      <c r="C22" s="3"/>
      <c r="D22" s="16"/>
      <c r="E22" s="6"/>
      <c r="F22" s="18"/>
      <c r="M22" s="9"/>
      <c r="N22" s="57"/>
    </row>
    <row r="23" spans="2:14" x14ac:dyDescent="0.3">
      <c r="B23" s="2" t="s">
        <v>20</v>
      </c>
      <c r="C23" s="3" t="s">
        <v>2</v>
      </c>
      <c r="D23" s="21">
        <v>1</v>
      </c>
      <c r="E23" s="6" t="s">
        <v>3</v>
      </c>
      <c r="F23" s="18" t="s">
        <v>230</v>
      </c>
      <c r="M23" s="9"/>
      <c r="N23" s="57"/>
    </row>
    <row r="24" spans="2:14" x14ac:dyDescent="0.3">
      <c r="B24" s="2"/>
      <c r="C24" s="3"/>
      <c r="D24" s="16"/>
      <c r="E24" s="6"/>
      <c r="F24" s="18"/>
      <c r="M24" s="9"/>
      <c r="N24" s="57"/>
    </row>
    <row r="25" spans="2:14" x14ac:dyDescent="0.3">
      <c r="B25" s="52" t="s">
        <v>37</v>
      </c>
      <c r="C25" s="3"/>
      <c r="D25" s="16"/>
      <c r="E25" s="6"/>
      <c r="F25" s="18"/>
      <c r="M25" s="9"/>
      <c r="N25" s="57"/>
    </row>
    <row r="26" spans="2:14" x14ac:dyDescent="0.3">
      <c r="B26" s="2" t="s">
        <v>21</v>
      </c>
      <c r="C26" s="3" t="s">
        <v>2</v>
      </c>
      <c r="D26" s="21">
        <v>0.5</v>
      </c>
      <c r="E26" s="6" t="s">
        <v>3</v>
      </c>
      <c r="F26" s="53" t="s">
        <v>232</v>
      </c>
      <c r="M26" s="9"/>
      <c r="N26" s="57"/>
    </row>
    <row r="27" spans="2:14" x14ac:dyDescent="0.3">
      <c r="B27" s="2"/>
      <c r="C27" s="3"/>
      <c r="D27" s="16"/>
      <c r="E27" s="6"/>
      <c r="F27" s="18"/>
      <c r="M27" s="9"/>
      <c r="N27" s="57"/>
    </row>
    <row r="28" spans="2:14" x14ac:dyDescent="0.3">
      <c r="B28" s="52" t="s">
        <v>38</v>
      </c>
      <c r="C28" s="3"/>
      <c r="D28" s="16"/>
      <c r="E28" s="6"/>
      <c r="F28" s="18"/>
      <c r="M28" s="9"/>
      <c r="N28" s="57"/>
    </row>
    <row r="29" spans="2:14" x14ac:dyDescent="0.3">
      <c r="B29" s="2" t="s">
        <v>22</v>
      </c>
      <c r="C29" s="3" t="s">
        <v>2</v>
      </c>
      <c r="D29" s="21">
        <v>0.2</v>
      </c>
      <c r="E29" s="6" t="s">
        <v>3</v>
      </c>
      <c r="F29" s="134" t="s">
        <v>342</v>
      </c>
      <c r="M29" s="9"/>
      <c r="N29" s="57"/>
    </row>
    <row r="30" spans="2:14" x14ac:dyDescent="0.3">
      <c r="B30" s="7"/>
      <c r="C30" s="3"/>
      <c r="D30" s="16"/>
      <c r="E30" s="6"/>
      <c r="F30" s="18"/>
      <c r="M30" s="9"/>
      <c r="N30" s="57"/>
    </row>
    <row r="31" spans="2:14" x14ac:dyDescent="0.3">
      <c r="B31" s="23" t="s">
        <v>16</v>
      </c>
      <c r="C31" s="3"/>
      <c r="D31" s="16"/>
      <c r="E31" s="6"/>
      <c r="F31" s="45"/>
      <c r="G31" s="46" t="s">
        <v>34</v>
      </c>
      <c r="H31" s="47"/>
      <c r="I31" s="47"/>
      <c r="J31" s="47"/>
      <c r="K31" s="47"/>
      <c r="L31" s="47"/>
      <c r="M31" s="58"/>
      <c r="N31" s="59"/>
    </row>
    <row r="32" spans="2:14" x14ac:dyDescent="0.3">
      <c r="B32" s="2" t="s">
        <v>15</v>
      </c>
      <c r="C32" s="3" t="s">
        <v>2</v>
      </c>
      <c r="D32" s="20">
        <v>15</v>
      </c>
      <c r="E32" s="6" t="s">
        <v>3</v>
      </c>
      <c r="F32" s="18" t="s">
        <v>270</v>
      </c>
    </row>
    <row r="33" spans="2:9" x14ac:dyDescent="0.3">
      <c r="B33" s="2"/>
      <c r="C33" s="3"/>
      <c r="D33" s="16"/>
      <c r="E33" s="6"/>
      <c r="F33" s="18"/>
    </row>
    <row r="34" spans="2:9" x14ac:dyDescent="0.3">
      <c r="B34" s="23" t="s">
        <v>236</v>
      </c>
      <c r="C34" s="3"/>
      <c r="D34" s="16"/>
      <c r="E34" s="6"/>
      <c r="F34" s="18"/>
    </row>
    <row r="35" spans="2:9" x14ac:dyDescent="0.3">
      <c r="B35" s="2" t="s">
        <v>24</v>
      </c>
      <c r="C35" s="3" t="s">
        <v>2</v>
      </c>
      <c r="D35" s="20">
        <v>100</v>
      </c>
      <c r="E35" s="6" t="s">
        <v>3</v>
      </c>
      <c r="F35" s="18" t="s">
        <v>271</v>
      </c>
    </row>
    <row r="36" spans="2:9" x14ac:dyDescent="0.3">
      <c r="B36" s="2"/>
      <c r="C36" s="3"/>
      <c r="D36" s="22"/>
      <c r="E36" s="6"/>
      <c r="F36" s="18"/>
    </row>
    <row r="37" spans="2:9" x14ac:dyDescent="0.3">
      <c r="B37" s="23" t="s">
        <v>235</v>
      </c>
      <c r="C37" s="3"/>
      <c r="D37" s="22"/>
      <c r="E37" s="6"/>
      <c r="F37" s="18"/>
    </row>
    <row r="38" spans="2:9" x14ac:dyDescent="0.3">
      <c r="B38" s="44" t="s">
        <v>25</v>
      </c>
      <c r="C38" s="3" t="s">
        <v>2</v>
      </c>
      <c r="D38" s="54">
        <v>30</v>
      </c>
      <c r="E38" s="6" t="s">
        <v>3</v>
      </c>
      <c r="F38" s="56">
        <f>D35*G38</f>
        <v>30</v>
      </c>
      <c r="G38" s="55">
        <v>0.3</v>
      </c>
      <c r="H38" s="18" t="s">
        <v>269</v>
      </c>
    </row>
    <row r="39" spans="2:9" x14ac:dyDescent="0.3">
      <c r="B39" s="44"/>
      <c r="C39" s="3"/>
      <c r="D39" s="22"/>
      <c r="E39" s="6"/>
      <c r="F39" s="18"/>
    </row>
    <row r="40" spans="2:9" x14ac:dyDescent="0.3">
      <c r="B40" s="23" t="s">
        <v>262</v>
      </c>
      <c r="C40" s="3"/>
      <c r="D40" s="22"/>
      <c r="E40" s="6"/>
      <c r="F40" s="18"/>
    </row>
    <row r="41" spans="2:9" x14ac:dyDescent="0.3">
      <c r="B41" s="44" t="s">
        <v>228</v>
      </c>
      <c r="C41" s="3" t="s">
        <v>2</v>
      </c>
      <c r="D41" s="20">
        <v>30</v>
      </c>
      <c r="E41" s="6" t="s">
        <v>3</v>
      </c>
      <c r="F41" s="48">
        <f>D35-D38</f>
        <v>70</v>
      </c>
      <c r="G41" s="1">
        <f>D35/3</f>
        <v>33.333333333333336</v>
      </c>
      <c r="H41" s="1" t="s">
        <v>237</v>
      </c>
    </row>
    <row r="42" spans="2:9" x14ac:dyDescent="0.3">
      <c r="B42" s="44"/>
      <c r="C42" s="3"/>
      <c r="D42" s="22"/>
      <c r="E42" s="6"/>
      <c r="F42" s="18"/>
    </row>
    <row r="43" spans="2:9" x14ac:dyDescent="0.3">
      <c r="B43" s="23" t="s">
        <v>263</v>
      </c>
      <c r="C43" s="3"/>
      <c r="D43" s="22"/>
      <c r="E43" s="6"/>
      <c r="F43" s="128" t="s">
        <v>331</v>
      </c>
      <c r="G43" s="129" t="s">
        <v>332</v>
      </c>
      <c r="H43" s="127" t="s">
        <v>333</v>
      </c>
      <c r="I43" s="1" t="s">
        <v>334</v>
      </c>
    </row>
    <row r="44" spans="2:9" x14ac:dyDescent="0.3">
      <c r="B44" s="44" t="s">
        <v>229</v>
      </c>
      <c r="C44" s="3" t="s">
        <v>2</v>
      </c>
      <c r="D44" s="20">
        <v>30</v>
      </c>
      <c r="E44" s="6" t="s">
        <v>3</v>
      </c>
      <c r="F44" s="132">
        <f>D35-D38</f>
        <v>70</v>
      </c>
      <c r="G44" s="130">
        <v>3</v>
      </c>
      <c r="H44" s="131" t="str">
        <f>"C/"&amp;G44</f>
        <v>C/3</v>
      </c>
      <c r="I44" s="131">
        <f>D35/G44</f>
        <v>33.333333333333336</v>
      </c>
    </row>
    <row r="45" spans="2:9" x14ac:dyDescent="0.3">
      <c r="B45" s="2"/>
      <c r="C45" s="3"/>
      <c r="D45" s="22"/>
      <c r="E45" s="6"/>
      <c r="F45" s="18"/>
    </row>
    <row r="46" spans="2:9" x14ac:dyDescent="0.3">
      <c r="B46" s="23" t="s">
        <v>27</v>
      </c>
      <c r="C46" s="3"/>
      <c r="D46" s="17"/>
      <c r="E46" s="6"/>
    </row>
    <row r="47" spans="2:9" x14ac:dyDescent="0.3">
      <c r="B47" s="2" t="s">
        <v>29</v>
      </c>
      <c r="C47" s="3" t="s">
        <v>2</v>
      </c>
      <c r="D47" s="21">
        <v>0.95</v>
      </c>
      <c r="E47" s="6" t="s">
        <v>3</v>
      </c>
    </row>
    <row r="48" spans="2:9" x14ac:dyDescent="0.3">
      <c r="B48" s="2"/>
      <c r="C48" s="3"/>
      <c r="D48" s="17"/>
      <c r="E48" s="6"/>
    </row>
    <row r="49" spans="2:14" x14ac:dyDescent="0.3">
      <c r="B49" s="23" t="s">
        <v>26</v>
      </c>
      <c r="C49" s="3"/>
      <c r="D49" s="17"/>
      <c r="E49" s="6"/>
    </row>
    <row r="50" spans="2:14" x14ac:dyDescent="0.3">
      <c r="B50" s="2" t="s">
        <v>30</v>
      </c>
      <c r="C50" s="3" t="s">
        <v>2</v>
      </c>
      <c r="D50" s="21">
        <v>0.9</v>
      </c>
      <c r="E50" s="6" t="s">
        <v>3</v>
      </c>
    </row>
    <row r="51" spans="2:14" x14ac:dyDescent="0.3">
      <c r="B51" s="2"/>
      <c r="C51" s="3"/>
      <c r="D51" s="17"/>
      <c r="E51" s="6"/>
    </row>
    <row r="52" spans="2:14" x14ac:dyDescent="0.3">
      <c r="B52" s="23" t="s">
        <v>28</v>
      </c>
      <c r="C52" s="3"/>
      <c r="D52" s="17"/>
      <c r="E52" s="6"/>
    </row>
    <row r="53" spans="2:14" x14ac:dyDescent="0.3">
      <c r="B53" s="2" t="s">
        <v>36</v>
      </c>
      <c r="C53" s="3" t="s">
        <v>2</v>
      </c>
      <c r="D53" s="21">
        <v>50</v>
      </c>
      <c r="E53" s="6" t="s">
        <v>3</v>
      </c>
    </row>
    <row r="54" spans="2:14" x14ac:dyDescent="0.3">
      <c r="B54" s="2"/>
      <c r="C54" s="3"/>
      <c r="D54" s="3"/>
      <c r="E54" s="6"/>
    </row>
    <row r="55" spans="2:14" x14ac:dyDescent="0.3">
      <c r="B55" s="23" t="s">
        <v>226</v>
      </c>
      <c r="C55" s="3"/>
      <c r="D55" s="17"/>
      <c r="E55" s="6"/>
    </row>
    <row r="56" spans="2:14" x14ac:dyDescent="0.3">
      <c r="B56" s="2" t="s">
        <v>31</v>
      </c>
      <c r="C56" s="3" t="s">
        <v>2</v>
      </c>
      <c r="D56" s="21">
        <v>25</v>
      </c>
      <c r="E56" s="6" t="s">
        <v>3</v>
      </c>
      <c r="F56" s="139" t="s">
        <v>335</v>
      </c>
      <c r="G56" s="140"/>
      <c r="H56" s="140"/>
      <c r="I56" s="140"/>
      <c r="J56" s="140"/>
      <c r="K56" s="140"/>
      <c r="L56" s="140"/>
      <c r="M56" s="140"/>
      <c r="N56" s="140"/>
    </row>
    <row r="57" spans="2:14" x14ac:dyDescent="0.3">
      <c r="B57" s="2"/>
      <c r="C57" s="3"/>
      <c r="D57" s="3"/>
      <c r="E57" s="6"/>
      <c r="F57" s="139"/>
      <c r="G57" s="140"/>
      <c r="H57" s="140"/>
      <c r="I57" s="140"/>
      <c r="J57" s="140"/>
      <c r="K57" s="140"/>
      <c r="L57" s="140"/>
      <c r="M57" s="140"/>
      <c r="N57" s="140"/>
    </row>
    <row r="58" spans="2:14" x14ac:dyDescent="0.3">
      <c r="B58" s="23" t="s">
        <v>227</v>
      </c>
      <c r="C58" s="3"/>
      <c r="D58" s="17"/>
      <c r="E58" s="6"/>
      <c r="F58" s="139"/>
      <c r="G58" s="140"/>
      <c r="H58" s="140"/>
      <c r="I58" s="140"/>
      <c r="J58" s="140"/>
      <c r="K58" s="140"/>
      <c r="L58" s="140"/>
      <c r="M58" s="140"/>
      <c r="N58" s="140"/>
    </row>
    <row r="59" spans="2:14" x14ac:dyDescent="0.3">
      <c r="B59" s="2" t="s">
        <v>32</v>
      </c>
      <c r="C59" s="3" t="s">
        <v>2</v>
      </c>
      <c r="D59" s="21">
        <v>0</v>
      </c>
      <c r="E59" s="6" t="s">
        <v>3</v>
      </c>
    </row>
    <row r="60" spans="2:14" x14ac:dyDescent="0.3">
      <c r="B60" s="2"/>
      <c r="C60" s="3"/>
      <c r="D60" s="3"/>
      <c r="E60" s="6"/>
    </row>
    <row r="61" spans="2:14" x14ac:dyDescent="0.3">
      <c r="B61" s="23" t="s">
        <v>239</v>
      </c>
      <c r="C61" s="3"/>
      <c r="D61" s="17"/>
      <c r="E61" s="6"/>
      <c r="F61" s="23"/>
    </row>
    <row r="62" spans="2:14" x14ac:dyDescent="0.3">
      <c r="B62" s="2" t="s">
        <v>240</v>
      </c>
      <c r="C62" s="3" t="s">
        <v>2</v>
      </c>
      <c r="D62" s="21">
        <v>3</v>
      </c>
      <c r="E62" s="6" t="s">
        <v>3</v>
      </c>
      <c r="F62" s="2"/>
    </row>
    <row r="63" spans="2:14" x14ac:dyDescent="0.3">
      <c r="B63" s="13"/>
      <c r="C63" s="9"/>
      <c r="D63" s="9"/>
      <c r="E63" s="14"/>
    </row>
    <row r="64" spans="2:14" x14ac:dyDescent="0.3">
      <c r="B64" s="23" t="s">
        <v>272</v>
      </c>
      <c r="C64" s="3"/>
      <c r="D64" s="17"/>
      <c r="E64" s="6"/>
    </row>
    <row r="65" spans="2:7" x14ac:dyDescent="0.3">
      <c r="B65" s="2" t="s">
        <v>241</v>
      </c>
      <c r="C65" s="3" t="s">
        <v>2</v>
      </c>
      <c r="D65" s="21">
        <v>0.15</v>
      </c>
      <c r="E65" s="6" t="s">
        <v>3</v>
      </c>
    </row>
    <row r="66" spans="2:7" x14ac:dyDescent="0.3">
      <c r="B66" s="13"/>
      <c r="C66" s="9"/>
      <c r="D66" s="9"/>
      <c r="E66" s="14"/>
    </row>
    <row r="67" spans="2:7" x14ac:dyDescent="0.3">
      <c r="B67" s="23" t="s">
        <v>273</v>
      </c>
      <c r="C67" s="3"/>
      <c r="D67" s="17"/>
      <c r="E67" s="6"/>
    </row>
    <row r="68" spans="2:7" x14ac:dyDescent="0.3">
      <c r="B68" s="2" t="s">
        <v>242</v>
      </c>
      <c r="C68" s="3" t="s">
        <v>2</v>
      </c>
      <c r="D68" s="21">
        <v>1</v>
      </c>
      <c r="E68" s="6" t="s">
        <v>3</v>
      </c>
    </row>
    <row r="69" spans="2:7" x14ac:dyDescent="0.3">
      <c r="B69" s="61"/>
      <c r="C69" s="9"/>
      <c r="D69" s="9"/>
      <c r="E69" s="14"/>
    </row>
    <row r="70" spans="2:7" x14ac:dyDescent="0.3">
      <c r="B70" s="23" t="s">
        <v>274</v>
      </c>
      <c r="C70" s="3"/>
      <c r="D70" s="17"/>
      <c r="E70" s="6"/>
    </row>
    <row r="71" spans="2:7" x14ac:dyDescent="0.3">
      <c r="B71" s="2" t="s">
        <v>243</v>
      </c>
      <c r="C71" s="3" t="s">
        <v>2</v>
      </c>
      <c r="D71" s="21">
        <v>1</v>
      </c>
      <c r="E71" s="6" t="s">
        <v>3</v>
      </c>
    </row>
    <row r="72" spans="2:7" x14ac:dyDescent="0.3">
      <c r="B72" s="13"/>
      <c r="C72" s="9"/>
      <c r="D72" s="9"/>
      <c r="E72" s="14"/>
    </row>
    <row r="73" spans="2:7" x14ac:dyDescent="0.3">
      <c r="B73" s="23" t="s">
        <v>245</v>
      </c>
      <c r="C73" s="3"/>
      <c r="D73" s="17"/>
      <c r="E73" s="6"/>
    </row>
    <row r="74" spans="2:7" x14ac:dyDescent="0.3">
      <c r="B74" s="2" t="s">
        <v>244</v>
      </c>
      <c r="C74" s="3" t="s">
        <v>2</v>
      </c>
      <c r="D74" s="106">
        <f>DieselGenerator!$D$23</f>
        <v>1.3333333333333345E-2</v>
      </c>
      <c r="E74" s="6" t="s">
        <v>3</v>
      </c>
      <c r="F74" s="104" t="s">
        <v>310</v>
      </c>
      <c r="G74" s="65"/>
    </row>
    <row r="75" spans="2:7" x14ac:dyDescent="0.3">
      <c r="B75" s="13"/>
      <c r="C75" s="9"/>
      <c r="D75" s="9"/>
      <c r="E75" s="14"/>
    </row>
    <row r="76" spans="2:7" x14ac:dyDescent="0.3">
      <c r="B76" s="23" t="s">
        <v>254</v>
      </c>
      <c r="C76" s="3"/>
      <c r="D76" s="17"/>
      <c r="E76" s="6"/>
    </row>
    <row r="77" spans="2:7" x14ac:dyDescent="0.3">
      <c r="B77" s="2" t="s">
        <v>246</v>
      </c>
      <c r="C77" s="3" t="s">
        <v>2</v>
      </c>
      <c r="D77" s="107">
        <f>DieselGenerator!$D$17</f>
        <v>0.30666666666666664</v>
      </c>
      <c r="E77" s="6" t="s">
        <v>3</v>
      </c>
      <c r="F77" s="104" t="s">
        <v>310</v>
      </c>
      <c r="G77" s="65"/>
    </row>
    <row r="78" spans="2:7" x14ac:dyDescent="0.3">
      <c r="B78" s="13"/>
      <c r="C78" s="9"/>
      <c r="D78" s="9"/>
      <c r="E78" s="14"/>
    </row>
    <row r="79" spans="2:7" x14ac:dyDescent="0.3">
      <c r="B79" s="23" t="s">
        <v>255</v>
      </c>
      <c r="C79" s="3"/>
      <c r="D79" s="17"/>
      <c r="E79" s="6"/>
    </row>
    <row r="80" spans="2:7" x14ac:dyDescent="0.3">
      <c r="B80" s="2" t="s">
        <v>247</v>
      </c>
      <c r="C80" s="3" t="s">
        <v>2</v>
      </c>
      <c r="D80" s="21">
        <v>0.245</v>
      </c>
      <c r="E80" s="6" t="s">
        <v>3</v>
      </c>
    </row>
    <row r="81" spans="2:7" x14ac:dyDescent="0.3">
      <c r="B81" s="13"/>
      <c r="C81" s="9"/>
      <c r="D81" s="9"/>
      <c r="E81" s="14"/>
    </row>
    <row r="82" spans="2:7" x14ac:dyDescent="0.3">
      <c r="B82" s="23" t="s">
        <v>276</v>
      </c>
      <c r="C82" s="3"/>
      <c r="D82" s="17"/>
      <c r="E82" s="6"/>
    </row>
    <row r="83" spans="2:7" x14ac:dyDescent="0.3">
      <c r="B83" s="2" t="s">
        <v>248</v>
      </c>
      <c r="C83" s="3" t="s">
        <v>2</v>
      </c>
      <c r="D83" s="51">
        <v>5.5999999999999999E-5</v>
      </c>
      <c r="E83" s="6" t="s">
        <v>3</v>
      </c>
      <c r="G83" s="1" t="s">
        <v>275</v>
      </c>
    </row>
    <row r="84" spans="2:7" x14ac:dyDescent="0.3">
      <c r="B84" s="13"/>
      <c r="C84" s="9"/>
      <c r="D84" s="9"/>
      <c r="E84" s="14"/>
    </row>
    <row r="85" spans="2:7" x14ac:dyDescent="0.3">
      <c r="B85" s="23" t="s">
        <v>256</v>
      </c>
      <c r="C85" s="3"/>
      <c r="D85" s="17"/>
      <c r="E85" s="6"/>
    </row>
    <row r="86" spans="2:7" x14ac:dyDescent="0.3">
      <c r="B86" s="2" t="s">
        <v>249</v>
      </c>
      <c r="C86" s="3" t="s">
        <v>2</v>
      </c>
      <c r="D86" s="21">
        <v>30</v>
      </c>
      <c r="E86" s="6" t="s">
        <v>3</v>
      </c>
    </row>
    <row r="87" spans="2:7" x14ac:dyDescent="0.3">
      <c r="B87" s="13"/>
      <c r="C87" s="9"/>
      <c r="D87" s="9"/>
      <c r="E87" s="14"/>
    </row>
    <row r="88" spans="2:7" x14ac:dyDescent="0.3">
      <c r="B88" s="23" t="s">
        <v>257</v>
      </c>
      <c r="C88" s="3"/>
      <c r="D88" s="17"/>
      <c r="E88" s="6"/>
    </row>
    <row r="89" spans="2:7" x14ac:dyDescent="0.3">
      <c r="B89" s="2" t="s">
        <v>250</v>
      </c>
      <c r="C89" s="3" t="s">
        <v>2</v>
      </c>
      <c r="D89" s="21">
        <v>1</v>
      </c>
      <c r="E89" s="6" t="s">
        <v>3</v>
      </c>
    </row>
    <row r="90" spans="2:7" x14ac:dyDescent="0.3">
      <c r="B90" s="13"/>
      <c r="C90" s="9"/>
      <c r="D90" s="9"/>
      <c r="E90" s="14"/>
    </row>
    <row r="91" spans="2:7" x14ac:dyDescent="0.3">
      <c r="B91" s="23" t="s">
        <v>258</v>
      </c>
      <c r="C91" s="3"/>
      <c r="D91" s="17"/>
      <c r="E91" s="6"/>
    </row>
    <row r="92" spans="2:7" x14ac:dyDescent="0.3">
      <c r="B92" s="2" t="s">
        <v>251</v>
      </c>
      <c r="C92" s="3" t="s">
        <v>2</v>
      </c>
      <c r="D92" s="21">
        <f>D41*1.1</f>
        <v>33</v>
      </c>
      <c r="E92" s="6" t="s">
        <v>3</v>
      </c>
      <c r="F92" s="80" t="s">
        <v>277</v>
      </c>
    </row>
    <row r="93" spans="2:7" x14ac:dyDescent="0.3">
      <c r="B93" s="13"/>
      <c r="C93" s="9"/>
      <c r="D93" s="9"/>
      <c r="E93" s="14"/>
    </row>
    <row r="94" spans="2:7" x14ac:dyDescent="0.3">
      <c r="B94" s="23" t="s">
        <v>259</v>
      </c>
      <c r="C94" s="3"/>
      <c r="D94" s="17"/>
      <c r="E94" s="6"/>
    </row>
    <row r="95" spans="2:7" x14ac:dyDescent="0.3">
      <c r="B95" s="2" t="s">
        <v>252</v>
      </c>
      <c r="C95" s="3" t="s">
        <v>2</v>
      </c>
      <c r="D95" s="21">
        <v>0.94</v>
      </c>
      <c r="E95" s="6" t="s">
        <v>3</v>
      </c>
    </row>
    <row r="96" spans="2:7" x14ac:dyDescent="0.3">
      <c r="B96" s="13"/>
      <c r="C96" s="9"/>
      <c r="D96" s="9"/>
      <c r="E96" s="14"/>
    </row>
    <row r="97" spans="2:5" x14ac:dyDescent="0.3">
      <c r="B97" s="23" t="s">
        <v>260</v>
      </c>
      <c r="C97" s="3"/>
      <c r="D97" s="17"/>
      <c r="E97" s="6"/>
    </row>
    <row r="98" spans="2:5" x14ac:dyDescent="0.3">
      <c r="B98" s="2" t="s">
        <v>253</v>
      </c>
      <c r="C98" s="3" t="s">
        <v>2</v>
      </c>
      <c r="D98" s="21">
        <v>0.94</v>
      </c>
      <c r="E98" s="6" t="s">
        <v>3</v>
      </c>
    </row>
    <row r="99" spans="2:5" x14ac:dyDescent="0.3">
      <c r="B99" s="2"/>
      <c r="C99" s="3"/>
      <c r="D99" s="16"/>
      <c r="E99" s="6"/>
    </row>
    <row r="100" spans="2:5" x14ac:dyDescent="0.3">
      <c r="B100" s="23" t="s">
        <v>350</v>
      </c>
      <c r="C100" s="3"/>
      <c r="D100" s="16"/>
      <c r="E100" s="6"/>
    </row>
    <row r="101" spans="2:5" x14ac:dyDescent="0.3">
      <c r="B101" s="44" t="s">
        <v>346</v>
      </c>
      <c r="C101" s="3" t="s">
        <v>2</v>
      </c>
      <c r="D101" s="21">
        <v>0.35</v>
      </c>
      <c r="E101" s="6" t="s">
        <v>3</v>
      </c>
    </row>
    <row r="102" spans="2:5" ht="15" thickBot="1" x14ac:dyDescent="0.35">
      <c r="B102" s="62"/>
      <c r="C102" s="63"/>
      <c r="D102" s="63"/>
      <c r="E102" s="64"/>
    </row>
  </sheetData>
  <mergeCells count="1">
    <mergeCell ref="F56:N5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36CAD-EEC1-4632-A3B4-49FC56E402CB}">
  <sheetPr codeName="Sheet3"/>
  <dimension ref="A1:BC286"/>
  <sheetViews>
    <sheetView workbookViewId="0">
      <selection activeCell="C3" sqref="C3"/>
    </sheetView>
  </sheetViews>
  <sheetFormatPr defaultColWidth="11.5546875" defaultRowHeight="14.4" x14ac:dyDescent="0.3"/>
  <cols>
    <col min="1" max="2" width="11.5546875" customWidth="1"/>
    <col min="3" max="3" width="12.5546875" bestFit="1" customWidth="1"/>
    <col min="5" max="5" width="13.33203125" customWidth="1"/>
    <col min="7" max="7" width="3.33203125" customWidth="1"/>
    <col min="8" max="10" width="11.5546875" style="1"/>
    <col min="11" max="11" width="52.44140625" style="1" bestFit="1" customWidth="1"/>
    <col min="12" max="55" width="11.5546875" style="1"/>
  </cols>
  <sheetData>
    <row r="1" spans="1:15" x14ac:dyDescent="0.3">
      <c r="C1" s="1"/>
      <c r="D1" s="1"/>
      <c r="E1" s="1"/>
      <c r="F1" s="1"/>
      <c r="G1" s="1"/>
    </row>
    <row r="2" spans="1:15" x14ac:dyDescent="0.3">
      <c r="A2" s="24" t="s">
        <v>39</v>
      </c>
      <c r="B2" s="125" t="s">
        <v>280</v>
      </c>
      <c r="C2" s="124" t="s">
        <v>278</v>
      </c>
      <c r="D2" s="124" t="s">
        <v>279</v>
      </c>
      <c r="E2" s="124" t="s">
        <v>280</v>
      </c>
      <c r="F2" s="124" t="s">
        <v>281</v>
      </c>
      <c r="G2" s="126" t="str">
        <f>C2</f>
        <v>F1</v>
      </c>
    </row>
    <row r="3" spans="1:15" x14ac:dyDescent="0.3">
      <c r="A3" s="15" t="s">
        <v>44</v>
      </c>
      <c r="B3" s="115">
        <f>HLOOKUP($B$2,$C$2:F170,ROW(B3)-1)+1</f>
        <v>2</v>
      </c>
      <c r="C3" s="82">
        <v>1</v>
      </c>
      <c r="D3" s="82">
        <v>1</v>
      </c>
      <c r="E3" s="82">
        <v>1</v>
      </c>
      <c r="F3" s="82">
        <v>0</v>
      </c>
      <c r="G3" s="126" t="str">
        <f>D2</f>
        <v>F2</v>
      </c>
    </row>
    <row r="4" spans="1:15" x14ac:dyDescent="0.3">
      <c r="A4" s="15" t="s">
        <v>48</v>
      </c>
      <c r="B4" s="115">
        <f>HLOOKUP($B$2,$C$2:F171,ROW(B4)-1)+1</f>
        <v>2</v>
      </c>
      <c r="C4" s="82">
        <v>1</v>
      </c>
      <c r="D4" s="82">
        <v>1</v>
      </c>
      <c r="E4" s="82">
        <v>1</v>
      </c>
      <c r="F4" s="82">
        <v>0</v>
      </c>
      <c r="G4" s="126" t="str">
        <f>E2</f>
        <v>F3</v>
      </c>
      <c r="I4" s="68">
        <v>2</v>
      </c>
      <c r="J4" s="68" t="s">
        <v>328</v>
      </c>
    </row>
    <row r="5" spans="1:15" x14ac:dyDescent="0.3">
      <c r="A5" s="15" t="s">
        <v>49</v>
      </c>
      <c r="B5" s="115">
        <f>HLOOKUP($B$2,$C$2:F172,ROW(B5)-1)+1</f>
        <v>2</v>
      </c>
      <c r="C5" s="82">
        <v>1</v>
      </c>
      <c r="D5" s="82">
        <v>1</v>
      </c>
      <c r="E5" s="82">
        <v>1</v>
      </c>
      <c r="F5" s="82">
        <v>0</v>
      </c>
      <c r="G5" s="126" t="str">
        <f>F2</f>
        <v>F4</v>
      </c>
      <c r="I5" s="68">
        <v>1</v>
      </c>
      <c r="J5" s="68" t="s">
        <v>329</v>
      </c>
    </row>
    <row r="6" spans="1:15" x14ac:dyDescent="0.3">
      <c r="A6" s="15" t="s">
        <v>50</v>
      </c>
      <c r="B6" s="115">
        <f>HLOOKUP($B$2,$C$2:F173,ROW(B6)-1)+1</f>
        <v>2</v>
      </c>
      <c r="C6" s="82">
        <v>1</v>
      </c>
      <c r="D6" s="82">
        <v>1</v>
      </c>
      <c r="E6" s="82">
        <v>1</v>
      </c>
      <c r="F6" s="82">
        <v>0</v>
      </c>
      <c r="G6" s="1"/>
    </row>
    <row r="7" spans="1:15" x14ac:dyDescent="0.3">
      <c r="A7" s="15" t="s">
        <v>51</v>
      </c>
      <c r="B7" s="115">
        <f>HLOOKUP($B$2,$C$2:F174,ROW(B7)-1)+1</f>
        <v>2</v>
      </c>
      <c r="C7" s="82">
        <v>1</v>
      </c>
      <c r="D7" s="82">
        <v>1</v>
      </c>
      <c r="E7" s="82">
        <v>1</v>
      </c>
      <c r="F7" s="82">
        <v>0</v>
      </c>
      <c r="G7" s="1"/>
      <c r="I7" s="82">
        <v>1</v>
      </c>
      <c r="J7" s="24" t="s">
        <v>282</v>
      </c>
      <c r="K7"/>
      <c r="L7"/>
      <c r="M7"/>
      <c r="N7"/>
      <c r="O7"/>
    </row>
    <row r="8" spans="1:15" x14ac:dyDescent="0.3">
      <c r="A8" s="15" t="s">
        <v>52</v>
      </c>
      <c r="B8" s="115">
        <f>HLOOKUP($B$2,$C$2:F175,ROW(B8)-1)+1</f>
        <v>2</v>
      </c>
      <c r="C8" s="82">
        <v>1</v>
      </c>
      <c r="D8" s="82">
        <v>1</v>
      </c>
      <c r="E8" s="82">
        <v>1</v>
      </c>
      <c r="F8" s="82">
        <v>0</v>
      </c>
      <c r="G8" s="1"/>
      <c r="I8" s="82">
        <v>0</v>
      </c>
      <c r="J8" s="24" t="s">
        <v>283</v>
      </c>
      <c r="K8" t="s">
        <v>284</v>
      </c>
      <c r="L8"/>
      <c r="M8"/>
      <c r="N8"/>
      <c r="O8"/>
    </row>
    <row r="9" spans="1:15" x14ac:dyDescent="0.3">
      <c r="A9" s="15" t="s">
        <v>53</v>
      </c>
      <c r="B9" s="115">
        <f>HLOOKUP($B$2,$C$2:F176,ROW(B9)-1)+1</f>
        <v>2</v>
      </c>
      <c r="C9" s="82">
        <v>1</v>
      </c>
      <c r="D9" s="82">
        <v>1</v>
      </c>
      <c r="E9" s="82">
        <v>1</v>
      </c>
      <c r="F9" s="82">
        <v>0</v>
      </c>
      <c r="G9" s="1"/>
      <c r="I9"/>
      <c r="J9"/>
      <c r="K9"/>
      <c r="L9"/>
      <c r="M9"/>
      <c r="N9"/>
      <c r="O9"/>
    </row>
    <row r="10" spans="1:15" x14ac:dyDescent="0.3">
      <c r="A10" s="15" t="s">
        <v>54</v>
      </c>
      <c r="B10" s="115">
        <f>HLOOKUP($B$2,$C$2:F177,ROW(B10)-1)+1</f>
        <v>2</v>
      </c>
      <c r="C10" s="82">
        <v>1</v>
      </c>
      <c r="D10" s="82">
        <v>1</v>
      </c>
      <c r="E10" s="82">
        <v>1</v>
      </c>
      <c r="F10" s="82">
        <v>0</v>
      </c>
      <c r="G10" s="1"/>
      <c r="I10" s="81" t="s">
        <v>285</v>
      </c>
      <c r="J10" t="s">
        <v>286</v>
      </c>
      <c r="K10"/>
      <c r="L10"/>
      <c r="M10"/>
      <c r="N10"/>
      <c r="O10"/>
    </row>
    <row r="11" spans="1:15" x14ac:dyDescent="0.3">
      <c r="A11" s="15" t="s">
        <v>55</v>
      </c>
      <c r="B11" s="115">
        <f>HLOOKUP($B$2,$C$2:F178,ROW(B11)-1)+1</f>
        <v>2</v>
      </c>
      <c r="C11" s="82">
        <v>1</v>
      </c>
      <c r="D11" s="82">
        <v>1</v>
      </c>
      <c r="E11" s="82">
        <v>1</v>
      </c>
      <c r="F11" s="82">
        <v>0</v>
      </c>
      <c r="G11" s="1"/>
      <c r="I11" s="81" t="s">
        <v>287</v>
      </c>
      <c r="J11" t="s">
        <v>288</v>
      </c>
      <c r="K11" t="s">
        <v>294</v>
      </c>
      <c r="L11"/>
      <c r="M11"/>
      <c r="N11"/>
      <c r="O11"/>
    </row>
    <row r="12" spans="1:15" x14ac:dyDescent="0.3">
      <c r="A12" s="15" t="s">
        <v>56</v>
      </c>
      <c r="B12" s="115">
        <f>HLOOKUP($B$2,$C$2:F179,ROW(B12)-1)+1</f>
        <v>2</v>
      </c>
      <c r="C12" s="82">
        <v>1</v>
      </c>
      <c r="D12" s="82">
        <v>1</v>
      </c>
      <c r="E12" s="82">
        <v>1</v>
      </c>
      <c r="F12" s="82">
        <v>0</v>
      </c>
      <c r="G12" s="1"/>
      <c r="I12" s="81" t="s">
        <v>289</v>
      </c>
      <c r="J12" t="s">
        <v>290</v>
      </c>
      <c r="K12" t="s">
        <v>291</v>
      </c>
      <c r="L12"/>
      <c r="M12"/>
      <c r="N12"/>
      <c r="O12"/>
    </row>
    <row r="13" spans="1:15" x14ac:dyDescent="0.3">
      <c r="A13" s="15" t="s">
        <v>57</v>
      </c>
      <c r="B13" s="115">
        <f>HLOOKUP($B$2,$C$2:F180,ROW(B13)-1)+1</f>
        <v>2</v>
      </c>
      <c r="C13" s="82">
        <v>1</v>
      </c>
      <c r="D13" s="82">
        <v>1</v>
      </c>
      <c r="E13" s="82">
        <v>1</v>
      </c>
      <c r="F13" s="82">
        <v>0</v>
      </c>
      <c r="G13" s="1"/>
      <c r="I13" s="81" t="s">
        <v>292</v>
      </c>
      <c r="J13" t="s">
        <v>293</v>
      </c>
      <c r="K13" s="24" t="s">
        <v>313</v>
      </c>
      <c r="L13"/>
      <c r="M13"/>
      <c r="N13"/>
      <c r="O13"/>
    </row>
    <row r="14" spans="1:15" x14ac:dyDescent="0.3">
      <c r="A14" s="15" t="s">
        <v>58</v>
      </c>
      <c r="B14" s="115">
        <f>HLOOKUP($B$2,$C$2:F181,ROW(B14)-1)+1</f>
        <v>2</v>
      </c>
      <c r="C14" s="82">
        <v>1</v>
      </c>
      <c r="D14" s="82">
        <v>1</v>
      </c>
      <c r="E14" s="82">
        <v>1</v>
      </c>
      <c r="F14" s="82">
        <v>0</v>
      </c>
      <c r="G14" s="1"/>
    </row>
    <row r="15" spans="1:15" x14ac:dyDescent="0.3">
      <c r="A15" s="15" t="s">
        <v>59</v>
      </c>
      <c r="B15" s="115">
        <f>HLOOKUP($B$2,$C$2:F182,ROW(B15)-1)+1</f>
        <v>2</v>
      </c>
      <c r="C15" s="82">
        <v>1</v>
      </c>
      <c r="D15" s="82">
        <v>1</v>
      </c>
      <c r="E15" s="82">
        <v>1</v>
      </c>
      <c r="F15" s="82">
        <v>0</v>
      </c>
      <c r="G15" s="1"/>
    </row>
    <row r="16" spans="1:15" x14ac:dyDescent="0.3">
      <c r="A16" s="15" t="s">
        <v>60</v>
      </c>
      <c r="B16" s="115">
        <f>HLOOKUP($B$2,$C$2:F183,ROW(B16)-1)+1</f>
        <v>2</v>
      </c>
      <c r="C16" s="82">
        <v>1</v>
      </c>
      <c r="D16" s="82">
        <v>1</v>
      </c>
      <c r="E16" s="82">
        <v>1</v>
      </c>
      <c r="F16" s="82">
        <v>0</v>
      </c>
      <c r="G16" s="1"/>
    </row>
    <row r="17" spans="1:7" x14ac:dyDescent="0.3">
      <c r="A17" s="15" t="s">
        <v>61</v>
      </c>
      <c r="B17" s="115">
        <f>HLOOKUP($B$2,$C$2:F184,ROW(B17)-1)+1</f>
        <v>2</v>
      </c>
      <c r="C17" s="82">
        <v>1</v>
      </c>
      <c r="D17" s="82">
        <v>1</v>
      </c>
      <c r="E17" s="82">
        <v>1</v>
      </c>
      <c r="F17" s="82">
        <v>0</v>
      </c>
      <c r="G17" s="1"/>
    </row>
    <row r="18" spans="1:7" x14ac:dyDescent="0.3">
      <c r="A18" s="15" t="s">
        <v>62</v>
      </c>
      <c r="B18" s="115">
        <f>HLOOKUP($B$2,$C$2:F185,ROW(B18)-1)+1</f>
        <v>2</v>
      </c>
      <c r="C18" s="82">
        <v>1</v>
      </c>
      <c r="D18" s="82">
        <v>1</v>
      </c>
      <c r="E18" s="82">
        <v>1</v>
      </c>
      <c r="F18" s="82">
        <v>0</v>
      </c>
      <c r="G18" s="1"/>
    </row>
    <row r="19" spans="1:7" x14ac:dyDescent="0.3">
      <c r="A19" s="15" t="s">
        <v>63</v>
      </c>
      <c r="B19" s="115">
        <f>HLOOKUP($B$2,$C$2:F186,ROW(B19)-1)+1</f>
        <v>2</v>
      </c>
      <c r="C19" s="82">
        <v>1</v>
      </c>
      <c r="D19" s="82">
        <v>1</v>
      </c>
      <c r="E19" s="82">
        <v>1</v>
      </c>
      <c r="F19" s="82">
        <v>0</v>
      </c>
      <c r="G19" s="1"/>
    </row>
    <row r="20" spans="1:7" x14ac:dyDescent="0.3">
      <c r="A20" s="15" t="s">
        <v>64</v>
      </c>
      <c r="B20" s="115">
        <f>HLOOKUP($B$2,$C$2:F187,ROW(B20)-1)+1</f>
        <v>2</v>
      </c>
      <c r="C20" s="82">
        <v>1</v>
      </c>
      <c r="D20" s="82">
        <v>1</v>
      </c>
      <c r="E20" s="82">
        <v>1</v>
      </c>
      <c r="F20" s="82">
        <v>0</v>
      </c>
      <c r="G20" s="1"/>
    </row>
    <row r="21" spans="1:7" x14ac:dyDescent="0.3">
      <c r="A21" s="15" t="s">
        <v>65</v>
      </c>
      <c r="B21" s="115">
        <f>HLOOKUP($B$2,$C$2:F188,ROW(B21)-1)+1</f>
        <v>1</v>
      </c>
      <c r="C21" s="82">
        <v>1</v>
      </c>
      <c r="D21" s="82">
        <v>0</v>
      </c>
      <c r="E21" s="82">
        <v>0</v>
      </c>
      <c r="F21" s="82">
        <v>0</v>
      </c>
      <c r="G21" s="1"/>
    </row>
    <row r="22" spans="1:7" x14ac:dyDescent="0.3">
      <c r="A22" s="15" t="s">
        <v>66</v>
      </c>
      <c r="B22" s="115">
        <f>HLOOKUP($B$2,$C$2:F189,ROW(B22)-1)+1</f>
        <v>1</v>
      </c>
      <c r="C22" s="82">
        <v>1</v>
      </c>
      <c r="D22" s="82">
        <v>0</v>
      </c>
      <c r="E22" s="82">
        <v>0</v>
      </c>
      <c r="F22" s="82">
        <v>0</v>
      </c>
      <c r="G22" s="1"/>
    </row>
    <row r="23" spans="1:7" x14ac:dyDescent="0.3">
      <c r="A23" s="15" t="s">
        <v>67</v>
      </c>
      <c r="B23" s="115">
        <f>HLOOKUP($B$2,$C$2:F190,ROW(B23)-1)+1</f>
        <v>1</v>
      </c>
      <c r="C23" s="82">
        <v>1</v>
      </c>
      <c r="D23" s="82">
        <v>1</v>
      </c>
      <c r="E23" s="82">
        <v>0</v>
      </c>
      <c r="F23" s="82">
        <v>0</v>
      </c>
      <c r="G23" s="1"/>
    </row>
    <row r="24" spans="1:7" x14ac:dyDescent="0.3">
      <c r="A24" s="15" t="s">
        <v>68</v>
      </c>
      <c r="B24" s="115">
        <f>HLOOKUP($B$2,$C$2:F191,ROW(B24)-1)+1</f>
        <v>1</v>
      </c>
      <c r="C24" s="82">
        <v>1</v>
      </c>
      <c r="D24" s="82">
        <v>1</v>
      </c>
      <c r="E24" s="82">
        <v>0</v>
      </c>
      <c r="F24" s="82">
        <v>0</v>
      </c>
      <c r="G24" s="1"/>
    </row>
    <row r="25" spans="1:7" x14ac:dyDescent="0.3">
      <c r="A25" s="15" t="s">
        <v>69</v>
      </c>
      <c r="B25" s="115">
        <f>HLOOKUP($B$2,$C$2:F192,ROW(B25)-1)+1</f>
        <v>2</v>
      </c>
      <c r="C25" s="82">
        <v>1</v>
      </c>
      <c r="D25" s="82">
        <v>1</v>
      </c>
      <c r="E25" s="82">
        <v>1</v>
      </c>
      <c r="F25" s="82">
        <v>0</v>
      </c>
      <c r="G25" s="1"/>
    </row>
    <row r="26" spans="1:7" x14ac:dyDescent="0.3">
      <c r="A26" s="15" t="s">
        <v>70</v>
      </c>
      <c r="B26" s="115">
        <f>HLOOKUP($B$2,$C$2:F193,ROW(B26)-1)+1</f>
        <v>2</v>
      </c>
      <c r="C26" s="82">
        <v>1</v>
      </c>
      <c r="D26" s="82">
        <v>1</v>
      </c>
      <c r="E26" s="82">
        <v>1</v>
      </c>
      <c r="F26" s="82">
        <v>0</v>
      </c>
      <c r="G26" s="1"/>
    </row>
    <row r="27" spans="1:7" x14ac:dyDescent="0.3">
      <c r="A27" s="15" t="s">
        <v>71</v>
      </c>
      <c r="B27" s="115">
        <f>HLOOKUP($B$2,$C$2:F194,ROW(B27)-1)+1</f>
        <v>2</v>
      </c>
      <c r="C27" s="82">
        <v>1</v>
      </c>
      <c r="D27" s="82">
        <v>1</v>
      </c>
      <c r="E27" s="82">
        <v>1</v>
      </c>
      <c r="F27" s="82">
        <v>0</v>
      </c>
      <c r="G27" s="1"/>
    </row>
    <row r="28" spans="1:7" x14ac:dyDescent="0.3">
      <c r="A28" s="15" t="s">
        <v>72</v>
      </c>
      <c r="B28" s="115">
        <f>HLOOKUP($B$2,$C$2:F195,ROW(B28)-1)+1</f>
        <v>2</v>
      </c>
      <c r="C28" s="82">
        <v>1</v>
      </c>
      <c r="D28" s="82">
        <v>1</v>
      </c>
      <c r="E28" s="82">
        <v>1</v>
      </c>
      <c r="F28" s="82">
        <v>0</v>
      </c>
      <c r="G28" s="1"/>
    </row>
    <row r="29" spans="1:7" x14ac:dyDescent="0.3">
      <c r="A29" s="15" t="s">
        <v>73</v>
      </c>
      <c r="B29" s="115">
        <f>HLOOKUP($B$2,$C$2:F196,ROW(B29)-1)+1</f>
        <v>2</v>
      </c>
      <c r="C29" s="82">
        <v>1</v>
      </c>
      <c r="D29" s="82">
        <v>1</v>
      </c>
      <c r="E29" s="82">
        <v>1</v>
      </c>
      <c r="F29" s="82">
        <v>0</v>
      </c>
      <c r="G29" s="1"/>
    </row>
    <row r="30" spans="1:7" x14ac:dyDescent="0.3">
      <c r="A30" s="15" t="s">
        <v>74</v>
      </c>
      <c r="B30" s="115">
        <f>HLOOKUP($B$2,$C$2:F197,ROW(B30)-1)+1</f>
        <v>2</v>
      </c>
      <c r="C30" s="82">
        <v>1</v>
      </c>
      <c r="D30" s="82">
        <v>1</v>
      </c>
      <c r="E30" s="82">
        <v>1</v>
      </c>
      <c r="F30" s="82">
        <v>0</v>
      </c>
      <c r="G30" s="1"/>
    </row>
    <row r="31" spans="1:7" x14ac:dyDescent="0.3">
      <c r="A31" s="15" t="s">
        <v>75</v>
      </c>
      <c r="B31" s="115">
        <f>HLOOKUP($B$2,$C$2:F198,ROW(B31)-1)+1</f>
        <v>2</v>
      </c>
      <c r="C31" s="82">
        <v>1</v>
      </c>
      <c r="D31" s="82">
        <v>1</v>
      </c>
      <c r="E31" s="82">
        <v>1</v>
      </c>
      <c r="F31" s="82">
        <v>0</v>
      </c>
      <c r="G31" s="1"/>
    </row>
    <row r="32" spans="1:7" x14ac:dyDescent="0.3">
      <c r="A32" s="15" t="s">
        <v>76</v>
      </c>
      <c r="B32" s="115">
        <f>HLOOKUP($B$2,$C$2:F199,ROW(B32)-1)+1</f>
        <v>2</v>
      </c>
      <c r="C32" s="82">
        <v>1</v>
      </c>
      <c r="D32" s="82">
        <v>1</v>
      </c>
      <c r="E32" s="82">
        <v>1</v>
      </c>
      <c r="F32" s="82">
        <v>0</v>
      </c>
      <c r="G32" s="1"/>
    </row>
    <row r="33" spans="1:7" x14ac:dyDescent="0.3">
      <c r="A33" s="15" t="s">
        <v>77</v>
      </c>
      <c r="B33" s="115">
        <f>HLOOKUP($B$2,$C$2:F200,ROW(B33)-1)+1</f>
        <v>2</v>
      </c>
      <c r="C33" s="82">
        <v>1</v>
      </c>
      <c r="D33" s="82">
        <v>1</v>
      </c>
      <c r="E33" s="82">
        <v>1</v>
      </c>
      <c r="F33" s="82">
        <v>0</v>
      </c>
      <c r="G33" s="1"/>
    </row>
    <row r="34" spans="1:7" x14ac:dyDescent="0.3">
      <c r="A34" s="15" t="s">
        <v>78</v>
      </c>
      <c r="B34" s="115">
        <f>HLOOKUP($B$2,$C$2:F201,ROW(B34)-1)+1</f>
        <v>2</v>
      </c>
      <c r="C34" s="82">
        <v>1</v>
      </c>
      <c r="D34" s="82">
        <v>1</v>
      </c>
      <c r="E34" s="82">
        <v>1</v>
      </c>
      <c r="F34" s="82">
        <v>0</v>
      </c>
      <c r="G34" s="1"/>
    </row>
    <row r="35" spans="1:7" x14ac:dyDescent="0.3">
      <c r="A35" s="15" t="s">
        <v>79</v>
      </c>
      <c r="B35" s="115">
        <f>HLOOKUP($B$2,$C$2:F202,ROW(B35)-1)+1</f>
        <v>2</v>
      </c>
      <c r="C35" s="82">
        <v>1</v>
      </c>
      <c r="D35" s="82">
        <v>1</v>
      </c>
      <c r="E35" s="82">
        <v>1</v>
      </c>
      <c r="F35" s="82">
        <v>0</v>
      </c>
      <c r="G35" s="1"/>
    </row>
    <row r="36" spans="1:7" x14ac:dyDescent="0.3">
      <c r="A36" s="15" t="s">
        <v>80</v>
      </c>
      <c r="B36" s="115">
        <f>HLOOKUP($B$2,$C$2:F203,ROW(B36)-1)+1</f>
        <v>2</v>
      </c>
      <c r="C36" s="82">
        <v>1</v>
      </c>
      <c r="D36" s="82">
        <v>1</v>
      </c>
      <c r="E36" s="82">
        <v>1</v>
      </c>
      <c r="F36" s="82">
        <v>0</v>
      </c>
      <c r="G36" s="1"/>
    </row>
    <row r="37" spans="1:7" x14ac:dyDescent="0.3">
      <c r="A37" s="15" t="s">
        <v>81</v>
      </c>
      <c r="B37" s="115">
        <f>HLOOKUP($B$2,$C$2:F204,ROW(B37)-1)+1</f>
        <v>2</v>
      </c>
      <c r="C37" s="82">
        <v>1</v>
      </c>
      <c r="D37" s="82">
        <v>1</v>
      </c>
      <c r="E37" s="82">
        <v>1</v>
      </c>
      <c r="F37" s="82">
        <v>0</v>
      </c>
      <c r="G37" s="1"/>
    </row>
    <row r="38" spans="1:7" x14ac:dyDescent="0.3">
      <c r="A38" s="15" t="s">
        <v>82</v>
      </c>
      <c r="B38" s="115">
        <f>HLOOKUP($B$2,$C$2:F205,ROW(B38)-1)+1</f>
        <v>2</v>
      </c>
      <c r="C38" s="82">
        <v>1</v>
      </c>
      <c r="D38" s="82">
        <v>1</v>
      </c>
      <c r="E38" s="82">
        <v>1</v>
      </c>
      <c r="F38" s="82">
        <v>0</v>
      </c>
      <c r="G38" s="1"/>
    </row>
    <row r="39" spans="1:7" x14ac:dyDescent="0.3">
      <c r="A39" s="15" t="s">
        <v>83</v>
      </c>
      <c r="B39" s="115">
        <f>HLOOKUP($B$2,$C$2:F206,ROW(B39)-1)+1</f>
        <v>2</v>
      </c>
      <c r="C39" s="82">
        <v>1</v>
      </c>
      <c r="D39" s="82">
        <v>1</v>
      </c>
      <c r="E39" s="82">
        <v>1</v>
      </c>
      <c r="F39" s="82">
        <v>0</v>
      </c>
      <c r="G39" s="1"/>
    </row>
    <row r="40" spans="1:7" x14ac:dyDescent="0.3">
      <c r="A40" s="15" t="s">
        <v>84</v>
      </c>
      <c r="B40" s="115">
        <f>HLOOKUP($B$2,$C$2:F207,ROW(B40)-1)+1</f>
        <v>2</v>
      </c>
      <c r="C40" s="82">
        <v>1</v>
      </c>
      <c r="D40" s="82">
        <v>1</v>
      </c>
      <c r="E40" s="82">
        <v>1</v>
      </c>
      <c r="F40" s="82">
        <v>0</v>
      </c>
      <c r="G40" s="1"/>
    </row>
    <row r="41" spans="1:7" x14ac:dyDescent="0.3">
      <c r="A41" s="15" t="s">
        <v>85</v>
      </c>
      <c r="B41" s="115">
        <f>HLOOKUP($B$2,$C$2:F208,ROW(B41)-1)+1</f>
        <v>1</v>
      </c>
      <c r="C41" s="82">
        <v>1</v>
      </c>
      <c r="D41" s="82">
        <v>1</v>
      </c>
      <c r="E41" s="82">
        <v>0</v>
      </c>
      <c r="F41" s="82">
        <v>0</v>
      </c>
      <c r="G41" s="1"/>
    </row>
    <row r="42" spans="1:7" x14ac:dyDescent="0.3">
      <c r="A42" s="15" t="s">
        <v>86</v>
      </c>
      <c r="B42" s="115">
        <f>HLOOKUP($B$2,$C$2:F209,ROW(B42)-1)+1</f>
        <v>1</v>
      </c>
      <c r="C42" s="82">
        <v>1</v>
      </c>
      <c r="D42" s="82">
        <v>1</v>
      </c>
      <c r="E42" s="82">
        <v>0</v>
      </c>
      <c r="F42" s="82">
        <v>0</v>
      </c>
      <c r="G42" s="1"/>
    </row>
    <row r="43" spans="1:7" x14ac:dyDescent="0.3">
      <c r="A43" s="15" t="s">
        <v>87</v>
      </c>
      <c r="B43" s="115">
        <f>HLOOKUP($B$2,$C$2:F210,ROW(B43)-1)+1</f>
        <v>1</v>
      </c>
      <c r="C43" s="82">
        <v>1</v>
      </c>
      <c r="D43" s="82">
        <v>1</v>
      </c>
      <c r="E43" s="82">
        <v>0</v>
      </c>
      <c r="F43" s="82">
        <v>0</v>
      </c>
      <c r="G43" s="1"/>
    </row>
    <row r="44" spans="1:7" x14ac:dyDescent="0.3">
      <c r="A44" s="15" t="s">
        <v>88</v>
      </c>
      <c r="B44" s="115">
        <f>HLOOKUP($B$2,$C$2:F211,ROW(B44)-1)+1</f>
        <v>1</v>
      </c>
      <c r="C44" s="82">
        <v>1</v>
      </c>
      <c r="D44" s="82">
        <v>1</v>
      </c>
      <c r="E44" s="82">
        <v>0</v>
      </c>
      <c r="F44" s="82">
        <v>0</v>
      </c>
      <c r="G44" s="1"/>
    </row>
    <row r="45" spans="1:7" x14ac:dyDescent="0.3">
      <c r="A45" s="15" t="s">
        <v>89</v>
      </c>
      <c r="B45" s="115">
        <f>HLOOKUP($B$2,$C$2:F212,ROW(B45)-1)+1</f>
        <v>2</v>
      </c>
      <c r="C45" s="82">
        <v>1</v>
      </c>
      <c r="D45" s="82">
        <v>1</v>
      </c>
      <c r="E45" s="82">
        <v>1</v>
      </c>
      <c r="F45" s="82">
        <v>0</v>
      </c>
      <c r="G45" s="1"/>
    </row>
    <row r="46" spans="1:7" x14ac:dyDescent="0.3">
      <c r="A46" s="15" t="s">
        <v>90</v>
      </c>
      <c r="B46" s="115">
        <f>HLOOKUP($B$2,$C$2:F213,ROW(B46)-1)+1</f>
        <v>2</v>
      </c>
      <c r="C46" s="82">
        <v>1</v>
      </c>
      <c r="D46" s="82">
        <v>1</v>
      </c>
      <c r="E46" s="82">
        <v>1</v>
      </c>
      <c r="F46" s="82">
        <v>0</v>
      </c>
      <c r="G46" s="1"/>
    </row>
    <row r="47" spans="1:7" x14ac:dyDescent="0.3">
      <c r="A47" s="15" t="s">
        <v>91</v>
      </c>
      <c r="B47" s="115">
        <f>HLOOKUP($B$2,$C$2:F214,ROW(B47)-1)+1</f>
        <v>2</v>
      </c>
      <c r="C47" s="82">
        <v>1</v>
      </c>
      <c r="D47" s="82">
        <v>1</v>
      </c>
      <c r="E47" s="82">
        <v>1</v>
      </c>
      <c r="F47" s="82">
        <v>0</v>
      </c>
      <c r="G47" s="1"/>
    </row>
    <row r="48" spans="1:7" x14ac:dyDescent="0.3">
      <c r="A48" s="15" t="s">
        <v>92</v>
      </c>
      <c r="B48" s="115">
        <f>HLOOKUP($B$2,$C$2:F215,ROW(B48)-1)+1</f>
        <v>1</v>
      </c>
      <c r="C48" s="82">
        <v>1</v>
      </c>
      <c r="D48" s="82">
        <v>1</v>
      </c>
      <c r="E48" s="82">
        <v>0</v>
      </c>
      <c r="F48" s="82">
        <v>0</v>
      </c>
      <c r="G48" s="1"/>
    </row>
    <row r="49" spans="1:7" x14ac:dyDescent="0.3">
      <c r="A49" s="15" t="s">
        <v>93</v>
      </c>
      <c r="B49" s="115">
        <f>HLOOKUP($B$2,$C$2:F216,ROW(B49)-1)+1</f>
        <v>1</v>
      </c>
      <c r="C49" s="82">
        <v>1</v>
      </c>
      <c r="D49" s="82">
        <v>1</v>
      </c>
      <c r="E49" s="82">
        <v>0</v>
      </c>
      <c r="F49" s="82">
        <v>0</v>
      </c>
      <c r="G49" s="1"/>
    </row>
    <row r="50" spans="1:7" x14ac:dyDescent="0.3">
      <c r="A50" s="15" t="s">
        <v>94</v>
      </c>
      <c r="B50" s="115">
        <f>HLOOKUP($B$2,$C$2:F217,ROW(B50)-1)+1</f>
        <v>2</v>
      </c>
      <c r="C50" s="82">
        <v>1</v>
      </c>
      <c r="D50" s="82">
        <v>1</v>
      </c>
      <c r="E50" s="82">
        <v>1</v>
      </c>
      <c r="F50" s="82">
        <v>0</v>
      </c>
      <c r="G50" s="1"/>
    </row>
    <row r="51" spans="1:7" x14ac:dyDescent="0.3">
      <c r="A51" s="15" t="s">
        <v>95</v>
      </c>
      <c r="B51" s="115">
        <f>HLOOKUP($B$2,$C$2:F218,ROW(B51)-1)+1</f>
        <v>2</v>
      </c>
      <c r="C51" s="82">
        <v>1</v>
      </c>
      <c r="D51" s="82">
        <v>1</v>
      </c>
      <c r="E51" s="82">
        <v>1</v>
      </c>
      <c r="F51" s="82">
        <v>0</v>
      </c>
      <c r="G51" s="1"/>
    </row>
    <row r="52" spans="1:7" x14ac:dyDescent="0.3">
      <c r="A52" s="15" t="s">
        <v>96</v>
      </c>
      <c r="B52" s="115">
        <f>HLOOKUP($B$2,$C$2:F219,ROW(B52)-1)+1</f>
        <v>2</v>
      </c>
      <c r="C52" s="82">
        <v>1</v>
      </c>
      <c r="D52" s="82">
        <v>1</v>
      </c>
      <c r="E52" s="82">
        <v>1</v>
      </c>
      <c r="F52" s="82">
        <v>0</v>
      </c>
      <c r="G52" s="1"/>
    </row>
    <row r="53" spans="1:7" x14ac:dyDescent="0.3">
      <c r="A53" s="15" t="s">
        <v>97</v>
      </c>
      <c r="B53" s="115">
        <f>HLOOKUP($B$2,$C$2:F220,ROW(B53)-1)+1</f>
        <v>2</v>
      </c>
      <c r="C53" s="82">
        <v>1</v>
      </c>
      <c r="D53" s="82">
        <v>1</v>
      </c>
      <c r="E53" s="82">
        <v>1</v>
      </c>
      <c r="F53" s="82">
        <v>0</v>
      </c>
      <c r="G53" s="1"/>
    </row>
    <row r="54" spans="1:7" x14ac:dyDescent="0.3">
      <c r="A54" s="15" t="s">
        <v>98</v>
      </c>
      <c r="B54" s="115">
        <f>HLOOKUP($B$2,$C$2:F221,ROW(B54)-1)+1</f>
        <v>2</v>
      </c>
      <c r="C54" s="82">
        <v>1</v>
      </c>
      <c r="D54" s="82">
        <v>1</v>
      </c>
      <c r="E54" s="82">
        <v>1</v>
      </c>
      <c r="F54" s="82">
        <v>0</v>
      </c>
      <c r="G54" s="1"/>
    </row>
    <row r="55" spans="1:7" x14ac:dyDescent="0.3">
      <c r="A55" s="15" t="s">
        <v>99</v>
      </c>
      <c r="B55" s="115">
        <f>HLOOKUP($B$2,$C$2:F222,ROW(B55)-1)+1</f>
        <v>2</v>
      </c>
      <c r="C55" s="82">
        <v>1</v>
      </c>
      <c r="D55" s="82">
        <v>1</v>
      </c>
      <c r="E55" s="82">
        <v>1</v>
      </c>
      <c r="F55" s="82">
        <v>0</v>
      </c>
      <c r="G55" s="1"/>
    </row>
    <row r="56" spans="1:7" x14ac:dyDescent="0.3">
      <c r="A56" s="15" t="s">
        <v>100</v>
      </c>
      <c r="B56" s="115">
        <f>HLOOKUP($B$2,$C$2:F223,ROW(B56)-1)+1</f>
        <v>2</v>
      </c>
      <c r="C56" s="82">
        <v>1</v>
      </c>
      <c r="D56" s="82">
        <v>1</v>
      </c>
      <c r="E56" s="82">
        <v>1</v>
      </c>
      <c r="F56" s="82">
        <v>0</v>
      </c>
      <c r="G56" s="1"/>
    </row>
    <row r="57" spans="1:7" x14ac:dyDescent="0.3">
      <c r="A57" s="15" t="s">
        <v>101</v>
      </c>
      <c r="B57" s="115">
        <f>HLOOKUP($B$2,$C$2:F224,ROW(B57)-1)+1</f>
        <v>2</v>
      </c>
      <c r="C57" s="82">
        <v>1</v>
      </c>
      <c r="D57" s="82">
        <v>1</v>
      </c>
      <c r="E57" s="82">
        <v>1</v>
      </c>
      <c r="F57" s="82">
        <v>0</v>
      </c>
      <c r="G57" s="1"/>
    </row>
    <row r="58" spans="1:7" x14ac:dyDescent="0.3">
      <c r="A58" s="15" t="s">
        <v>102</v>
      </c>
      <c r="B58" s="115">
        <f>HLOOKUP($B$2,$C$2:F225,ROW(B58)-1)+1</f>
        <v>2</v>
      </c>
      <c r="C58" s="82">
        <v>1</v>
      </c>
      <c r="D58" s="82">
        <v>1</v>
      </c>
      <c r="E58" s="82">
        <v>1</v>
      </c>
      <c r="F58" s="82">
        <v>0</v>
      </c>
      <c r="G58" s="1"/>
    </row>
    <row r="59" spans="1:7" x14ac:dyDescent="0.3">
      <c r="A59" s="15" t="s">
        <v>103</v>
      </c>
      <c r="B59" s="115">
        <f>HLOOKUP($B$2,$C$2:F226,ROW(B59)-1)+1</f>
        <v>2</v>
      </c>
      <c r="C59" s="82">
        <v>1</v>
      </c>
      <c r="D59" s="82">
        <v>1</v>
      </c>
      <c r="E59" s="82">
        <v>1</v>
      </c>
      <c r="F59" s="82">
        <v>0</v>
      </c>
      <c r="G59" s="1"/>
    </row>
    <row r="60" spans="1:7" x14ac:dyDescent="0.3">
      <c r="A60" s="15" t="s">
        <v>104</v>
      </c>
      <c r="B60" s="115">
        <f>HLOOKUP($B$2,$C$2:F227,ROW(B60)-1)+1</f>
        <v>2</v>
      </c>
      <c r="C60" s="82">
        <v>1</v>
      </c>
      <c r="D60" s="82">
        <v>1</v>
      </c>
      <c r="E60" s="82">
        <v>1</v>
      </c>
      <c r="F60" s="82">
        <v>0</v>
      </c>
      <c r="G60" s="1"/>
    </row>
    <row r="61" spans="1:7" x14ac:dyDescent="0.3">
      <c r="A61" s="15" t="s">
        <v>105</v>
      </c>
      <c r="B61" s="115">
        <f>HLOOKUP($B$2,$C$2:F228,ROW(B61)-1)+1</f>
        <v>1</v>
      </c>
      <c r="C61" s="82">
        <v>1</v>
      </c>
      <c r="D61" s="82">
        <v>0</v>
      </c>
      <c r="E61" s="82">
        <v>0</v>
      </c>
      <c r="F61" s="82">
        <v>0</v>
      </c>
      <c r="G61" s="1"/>
    </row>
    <row r="62" spans="1:7" x14ac:dyDescent="0.3">
      <c r="A62" s="15" t="s">
        <v>106</v>
      </c>
      <c r="B62" s="115">
        <f>HLOOKUP($B$2,$C$2:F229,ROW(B62)-1)+1</f>
        <v>1</v>
      </c>
      <c r="C62" s="82">
        <v>1</v>
      </c>
      <c r="D62" s="82">
        <v>0</v>
      </c>
      <c r="E62" s="82">
        <v>0</v>
      </c>
      <c r="F62" s="82">
        <v>0</v>
      </c>
      <c r="G62" s="1"/>
    </row>
    <row r="63" spans="1:7" x14ac:dyDescent="0.3">
      <c r="A63" s="15" t="s">
        <v>107</v>
      </c>
      <c r="B63" s="115">
        <f>HLOOKUP($B$2,$C$2:F230,ROW(B63)-1)+1</f>
        <v>1</v>
      </c>
      <c r="C63" s="82">
        <v>1</v>
      </c>
      <c r="D63" s="82">
        <v>0</v>
      </c>
      <c r="E63" s="82">
        <v>0</v>
      </c>
      <c r="F63" s="82">
        <v>0</v>
      </c>
      <c r="G63" s="1"/>
    </row>
    <row r="64" spans="1:7" x14ac:dyDescent="0.3">
      <c r="A64" s="15" t="s">
        <v>108</v>
      </c>
      <c r="B64" s="115">
        <f>HLOOKUP($B$2,$C$2:F231,ROW(B64)-1)+1</f>
        <v>1</v>
      </c>
      <c r="C64" s="82">
        <v>1</v>
      </c>
      <c r="D64" s="82">
        <v>0</v>
      </c>
      <c r="E64" s="82">
        <v>0</v>
      </c>
      <c r="F64" s="82">
        <v>0</v>
      </c>
      <c r="G64" s="1"/>
    </row>
    <row r="65" spans="1:7" x14ac:dyDescent="0.3">
      <c r="A65" s="15" t="s">
        <v>109</v>
      </c>
      <c r="B65" s="115">
        <f>HLOOKUP($B$2,$C$2:F232,ROW(B65)-1)+1</f>
        <v>2</v>
      </c>
      <c r="C65" s="82">
        <v>1</v>
      </c>
      <c r="D65" s="82">
        <v>1</v>
      </c>
      <c r="E65" s="82">
        <v>1</v>
      </c>
      <c r="F65" s="82">
        <v>0</v>
      </c>
      <c r="G65" s="1"/>
    </row>
    <row r="66" spans="1:7" x14ac:dyDescent="0.3">
      <c r="A66" s="15" t="s">
        <v>110</v>
      </c>
      <c r="B66" s="115">
        <f>HLOOKUP($B$2,$C$2:F233,ROW(B66)-1)+1</f>
        <v>2</v>
      </c>
      <c r="C66" s="82">
        <v>1</v>
      </c>
      <c r="D66" s="82">
        <v>1</v>
      </c>
      <c r="E66" s="82">
        <v>1</v>
      </c>
      <c r="F66" s="82">
        <v>0</v>
      </c>
      <c r="G66" s="1"/>
    </row>
    <row r="67" spans="1:7" x14ac:dyDescent="0.3">
      <c r="A67" s="15" t="s">
        <v>111</v>
      </c>
      <c r="B67" s="115">
        <f>HLOOKUP($B$2,$C$2:F234,ROW(B67)-1)+1</f>
        <v>2</v>
      </c>
      <c r="C67" s="82">
        <v>1</v>
      </c>
      <c r="D67" s="82">
        <v>1</v>
      </c>
      <c r="E67" s="82">
        <v>1</v>
      </c>
      <c r="F67" s="82">
        <v>0</v>
      </c>
      <c r="G67" s="1"/>
    </row>
    <row r="68" spans="1:7" x14ac:dyDescent="0.3">
      <c r="A68" s="15" t="s">
        <v>112</v>
      </c>
      <c r="B68" s="115">
        <f>HLOOKUP($B$2,$C$2:F235,ROW(B68)-1)+1</f>
        <v>2</v>
      </c>
      <c r="C68" s="82">
        <v>1</v>
      </c>
      <c r="D68" s="82">
        <v>1</v>
      </c>
      <c r="E68" s="82">
        <v>1</v>
      </c>
      <c r="F68" s="82">
        <v>0</v>
      </c>
      <c r="G68" s="1"/>
    </row>
    <row r="69" spans="1:7" x14ac:dyDescent="0.3">
      <c r="A69" s="15" t="s">
        <v>113</v>
      </c>
      <c r="B69" s="115">
        <f>HLOOKUP($B$2,$C$2:F236,ROW(B69)-1)+1</f>
        <v>1</v>
      </c>
      <c r="C69" s="82">
        <v>1</v>
      </c>
      <c r="D69" s="82">
        <v>1</v>
      </c>
      <c r="E69" s="82">
        <v>0</v>
      </c>
      <c r="F69" s="82">
        <v>0</v>
      </c>
      <c r="G69" s="1"/>
    </row>
    <row r="70" spans="1:7" x14ac:dyDescent="0.3">
      <c r="A70" s="15" t="s">
        <v>114</v>
      </c>
      <c r="B70" s="115">
        <f>HLOOKUP($B$2,$C$2:F237,ROW(B70)-1)+1</f>
        <v>1</v>
      </c>
      <c r="C70" s="82">
        <v>1</v>
      </c>
      <c r="D70" s="82">
        <v>1</v>
      </c>
      <c r="E70" s="82">
        <v>0</v>
      </c>
      <c r="F70" s="82">
        <v>0</v>
      </c>
      <c r="G70" s="1"/>
    </row>
    <row r="71" spans="1:7" x14ac:dyDescent="0.3">
      <c r="A71" s="15" t="s">
        <v>115</v>
      </c>
      <c r="B71" s="115">
        <f>HLOOKUP($B$2,$C$2:F238,ROW(B71)-1)+1</f>
        <v>2</v>
      </c>
      <c r="C71" s="82">
        <v>1</v>
      </c>
      <c r="D71" s="82">
        <v>1</v>
      </c>
      <c r="E71" s="82">
        <v>1</v>
      </c>
      <c r="F71" s="82">
        <v>0</v>
      </c>
      <c r="G71" s="1"/>
    </row>
    <row r="72" spans="1:7" x14ac:dyDescent="0.3">
      <c r="A72" s="15" t="s">
        <v>116</v>
      </c>
      <c r="B72" s="115">
        <f>HLOOKUP($B$2,$C$2:F239,ROW(B72)-1)+1</f>
        <v>2</v>
      </c>
      <c r="C72" s="82">
        <v>1</v>
      </c>
      <c r="D72" s="82">
        <v>1</v>
      </c>
      <c r="E72" s="82">
        <v>1</v>
      </c>
      <c r="F72" s="82">
        <v>0</v>
      </c>
      <c r="G72" s="1"/>
    </row>
    <row r="73" spans="1:7" x14ac:dyDescent="0.3">
      <c r="A73" s="15" t="s">
        <v>117</v>
      </c>
      <c r="B73" s="115">
        <f>HLOOKUP($B$2,$C$2:F240,ROW(B73)-1)+1</f>
        <v>2</v>
      </c>
      <c r="C73" s="82">
        <v>1</v>
      </c>
      <c r="D73" s="82">
        <v>1</v>
      </c>
      <c r="E73" s="82">
        <v>1</v>
      </c>
      <c r="F73" s="82">
        <v>0</v>
      </c>
      <c r="G73" s="1"/>
    </row>
    <row r="74" spans="1:7" x14ac:dyDescent="0.3">
      <c r="A74" s="15" t="s">
        <v>118</v>
      </c>
      <c r="B74" s="115">
        <f>HLOOKUP($B$2,$C$2:F241,ROW(B74)-1)+1</f>
        <v>2</v>
      </c>
      <c r="C74" s="82">
        <v>1</v>
      </c>
      <c r="D74" s="82">
        <v>1</v>
      </c>
      <c r="E74" s="82">
        <v>1</v>
      </c>
      <c r="F74" s="82">
        <v>0</v>
      </c>
      <c r="G74" s="1"/>
    </row>
    <row r="75" spans="1:7" x14ac:dyDescent="0.3">
      <c r="A75" s="15" t="s">
        <v>119</v>
      </c>
      <c r="B75" s="115">
        <f>HLOOKUP($B$2,$C$2:F242,ROW(B75)-1)+1</f>
        <v>2</v>
      </c>
      <c r="C75" s="82">
        <v>1</v>
      </c>
      <c r="D75" s="82">
        <v>1</v>
      </c>
      <c r="E75" s="82">
        <v>1</v>
      </c>
      <c r="F75" s="82">
        <v>0</v>
      </c>
      <c r="G75" s="1"/>
    </row>
    <row r="76" spans="1:7" x14ac:dyDescent="0.3">
      <c r="A76" s="15" t="s">
        <v>120</v>
      </c>
      <c r="B76" s="115">
        <f>HLOOKUP($B$2,$C$2:F243,ROW(B76)-1)+1</f>
        <v>2</v>
      </c>
      <c r="C76" s="82">
        <v>1</v>
      </c>
      <c r="D76" s="82">
        <v>1</v>
      </c>
      <c r="E76" s="82">
        <v>1</v>
      </c>
      <c r="F76" s="82">
        <v>0</v>
      </c>
      <c r="G76" s="1"/>
    </row>
    <row r="77" spans="1:7" x14ac:dyDescent="0.3">
      <c r="A77" s="15" t="s">
        <v>121</v>
      </c>
      <c r="B77" s="115">
        <f>HLOOKUP($B$2,$C$2:F244,ROW(B77)-1)+1</f>
        <v>2</v>
      </c>
      <c r="C77" s="82">
        <v>1</v>
      </c>
      <c r="D77" s="82">
        <v>1</v>
      </c>
      <c r="E77" s="82">
        <v>1</v>
      </c>
      <c r="F77" s="82">
        <v>0</v>
      </c>
      <c r="G77" s="1"/>
    </row>
    <row r="78" spans="1:7" x14ac:dyDescent="0.3">
      <c r="A78" s="15" t="s">
        <v>122</v>
      </c>
      <c r="B78" s="115">
        <f>HLOOKUP($B$2,$C$2:F245,ROW(B78)-1)+1</f>
        <v>2</v>
      </c>
      <c r="C78" s="82">
        <v>1</v>
      </c>
      <c r="D78" s="82">
        <v>1</v>
      </c>
      <c r="E78" s="82">
        <v>1</v>
      </c>
      <c r="F78" s="82">
        <v>0</v>
      </c>
      <c r="G78" s="1"/>
    </row>
    <row r="79" spans="1:7" x14ac:dyDescent="0.3">
      <c r="A79" s="15" t="s">
        <v>123</v>
      </c>
      <c r="B79" s="115">
        <f>HLOOKUP($B$2,$C$2:F246,ROW(B79)-1)+1</f>
        <v>2</v>
      </c>
      <c r="C79" s="82">
        <v>1</v>
      </c>
      <c r="D79" s="82">
        <v>1</v>
      </c>
      <c r="E79" s="82">
        <v>1</v>
      </c>
      <c r="F79" s="82">
        <v>0</v>
      </c>
      <c r="G79" s="1"/>
    </row>
    <row r="80" spans="1:7" x14ac:dyDescent="0.3">
      <c r="A80" s="15" t="s">
        <v>124</v>
      </c>
      <c r="B80" s="115">
        <f>HLOOKUP($B$2,$C$2:F247,ROW(B80)-1)+1</f>
        <v>2</v>
      </c>
      <c r="C80" s="82">
        <v>1</v>
      </c>
      <c r="D80" s="82">
        <v>1</v>
      </c>
      <c r="E80" s="82">
        <v>1</v>
      </c>
      <c r="F80" s="82">
        <v>0</v>
      </c>
      <c r="G80" s="1"/>
    </row>
    <row r="81" spans="1:7" x14ac:dyDescent="0.3">
      <c r="A81" s="15" t="s">
        <v>125</v>
      </c>
      <c r="B81" s="115">
        <f>HLOOKUP($B$2,$C$2:F248,ROW(B81)-1)+1</f>
        <v>2</v>
      </c>
      <c r="C81" s="82">
        <v>1</v>
      </c>
      <c r="D81" s="82">
        <v>1</v>
      </c>
      <c r="E81" s="82">
        <v>1</v>
      </c>
      <c r="F81" s="82">
        <v>0</v>
      </c>
      <c r="G81" s="1"/>
    </row>
    <row r="82" spans="1:7" x14ac:dyDescent="0.3">
      <c r="A82" s="15" t="s">
        <v>126</v>
      </c>
      <c r="B82" s="115">
        <f>HLOOKUP($B$2,$C$2:F249,ROW(B82)-1)+1</f>
        <v>2</v>
      </c>
      <c r="C82" s="82">
        <v>1</v>
      </c>
      <c r="D82" s="82">
        <v>1</v>
      </c>
      <c r="E82" s="82">
        <v>1</v>
      </c>
      <c r="F82" s="82">
        <v>0</v>
      </c>
      <c r="G82" s="1"/>
    </row>
    <row r="83" spans="1:7" x14ac:dyDescent="0.3">
      <c r="A83" s="15" t="s">
        <v>127</v>
      </c>
      <c r="B83" s="115">
        <f>HLOOKUP($B$2,$C$2:F250,ROW(B83)-1)+1</f>
        <v>2</v>
      </c>
      <c r="C83" s="82">
        <v>1</v>
      </c>
      <c r="D83" s="82">
        <v>1</v>
      </c>
      <c r="E83" s="82">
        <v>1</v>
      </c>
      <c r="F83" s="82">
        <v>0</v>
      </c>
      <c r="G83" s="1"/>
    </row>
    <row r="84" spans="1:7" x14ac:dyDescent="0.3">
      <c r="A84" s="15" t="s">
        <v>128</v>
      </c>
      <c r="B84" s="115">
        <f>HLOOKUP($B$2,$C$2:F251,ROW(B84)-1)+1</f>
        <v>1</v>
      </c>
      <c r="C84" s="82">
        <v>1</v>
      </c>
      <c r="D84" s="82">
        <v>0</v>
      </c>
      <c r="E84" s="82">
        <v>0</v>
      </c>
      <c r="F84" s="82">
        <v>0</v>
      </c>
      <c r="G84" s="1"/>
    </row>
    <row r="85" spans="1:7" x14ac:dyDescent="0.3">
      <c r="A85" s="15" t="s">
        <v>129</v>
      </c>
      <c r="B85" s="115">
        <f>HLOOKUP($B$2,$C$2:F252,ROW(B85)-1)+1</f>
        <v>1</v>
      </c>
      <c r="C85" s="82">
        <v>1</v>
      </c>
      <c r="D85" s="82">
        <v>0</v>
      </c>
      <c r="E85" s="82">
        <v>0</v>
      </c>
      <c r="F85" s="82">
        <v>0</v>
      </c>
      <c r="G85" s="1"/>
    </row>
    <row r="86" spans="1:7" x14ac:dyDescent="0.3">
      <c r="A86" s="15" t="s">
        <v>130</v>
      </c>
      <c r="B86" s="115">
        <f>HLOOKUP($B$2,$C$2:F253,ROW(B86)-1)+1</f>
        <v>1</v>
      </c>
      <c r="C86" s="82">
        <v>1</v>
      </c>
      <c r="D86" s="82">
        <v>1</v>
      </c>
      <c r="E86" s="82">
        <v>0</v>
      </c>
      <c r="F86" s="82">
        <v>0</v>
      </c>
      <c r="G86" s="1"/>
    </row>
    <row r="87" spans="1:7" x14ac:dyDescent="0.3">
      <c r="A87" s="15" t="s">
        <v>131</v>
      </c>
      <c r="B87" s="115">
        <f>HLOOKUP($B$2,$C$2:F254,ROW(B87)-1)+1</f>
        <v>1</v>
      </c>
      <c r="C87" s="82">
        <v>1</v>
      </c>
      <c r="D87" s="82">
        <v>1</v>
      </c>
      <c r="E87" s="82">
        <v>0</v>
      </c>
      <c r="F87" s="82">
        <v>0</v>
      </c>
      <c r="G87" s="1"/>
    </row>
    <row r="88" spans="1:7" x14ac:dyDescent="0.3">
      <c r="A88" s="15" t="s">
        <v>132</v>
      </c>
      <c r="B88" s="115">
        <f>HLOOKUP($B$2,$C$2:F255,ROW(B88)-1)+1</f>
        <v>2</v>
      </c>
      <c r="C88" s="82">
        <v>1</v>
      </c>
      <c r="D88" s="82">
        <v>1</v>
      </c>
      <c r="E88" s="82">
        <v>1</v>
      </c>
      <c r="F88" s="82">
        <v>0</v>
      </c>
      <c r="G88" s="1"/>
    </row>
    <row r="89" spans="1:7" x14ac:dyDescent="0.3">
      <c r="A89" s="15" t="s">
        <v>133</v>
      </c>
      <c r="B89" s="115">
        <f>HLOOKUP($B$2,$C$2:F256,ROW(B89)-1)+1</f>
        <v>2</v>
      </c>
      <c r="C89" s="82">
        <v>1</v>
      </c>
      <c r="D89" s="82">
        <v>1</v>
      </c>
      <c r="E89" s="82">
        <v>1</v>
      </c>
      <c r="F89" s="82">
        <v>0</v>
      </c>
      <c r="G89" s="1"/>
    </row>
    <row r="90" spans="1:7" x14ac:dyDescent="0.3">
      <c r="A90" s="15" t="s">
        <v>134</v>
      </c>
      <c r="B90" s="115">
        <f>HLOOKUP($B$2,$C$2:F257,ROW(B90)-1)+1</f>
        <v>2</v>
      </c>
      <c r="C90" s="82">
        <v>1</v>
      </c>
      <c r="D90" s="82">
        <v>1</v>
      </c>
      <c r="E90" s="82">
        <v>1</v>
      </c>
      <c r="F90" s="82">
        <v>0</v>
      </c>
      <c r="G90" s="1"/>
    </row>
    <row r="91" spans="1:7" x14ac:dyDescent="0.3">
      <c r="A91" s="15" t="s">
        <v>135</v>
      </c>
      <c r="B91" s="115">
        <f>HLOOKUP($B$2,$C$2:F258,ROW(B91)-1)+1</f>
        <v>2</v>
      </c>
      <c r="C91" s="82">
        <v>1</v>
      </c>
      <c r="D91" s="82">
        <v>1</v>
      </c>
      <c r="E91" s="82">
        <v>1</v>
      </c>
      <c r="F91" s="82">
        <v>0</v>
      </c>
      <c r="G91" s="1"/>
    </row>
    <row r="92" spans="1:7" x14ac:dyDescent="0.3">
      <c r="A92" s="15" t="s">
        <v>136</v>
      </c>
      <c r="B92" s="115">
        <f>HLOOKUP($B$2,$C$2:F259,ROW(B92)-1)+1</f>
        <v>2</v>
      </c>
      <c r="C92" s="82">
        <v>1</v>
      </c>
      <c r="D92" s="82">
        <v>1</v>
      </c>
      <c r="E92" s="82">
        <v>1</v>
      </c>
      <c r="F92" s="82">
        <v>0</v>
      </c>
      <c r="G92" s="1"/>
    </row>
    <row r="93" spans="1:7" x14ac:dyDescent="0.3">
      <c r="A93" s="15" t="s">
        <v>137</v>
      </c>
      <c r="B93" s="115">
        <f>HLOOKUP($B$2,$C$2:F260,ROW(B93)-1)+1</f>
        <v>2</v>
      </c>
      <c r="C93" s="82">
        <v>1</v>
      </c>
      <c r="D93" s="82">
        <v>1</v>
      </c>
      <c r="E93" s="82">
        <v>1</v>
      </c>
      <c r="F93" s="82">
        <v>0</v>
      </c>
      <c r="G93" s="1"/>
    </row>
    <row r="94" spans="1:7" x14ac:dyDescent="0.3">
      <c r="A94" s="15" t="s">
        <v>138</v>
      </c>
      <c r="B94" s="115">
        <f>HLOOKUP($B$2,$C$2:F261,ROW(B94)-1)+1</f>
        <v>1</v>
      </c>
      <c r="C94" s="82">
        <v>1</v>
      </c>
      <c r="D94" s="82">
        <v>1</v>
      </c>
      <c r="E94" s="82">
        <v>0</v>
      </c>
      <c r="F94" s="82">
        <v>0</v>
      </c>
      <c r="G94" s="1"/>
    </row>
    <row r="95" spans="1:7" x14ac:dyDescent="0.3">
      <c r="A95" s="15" t="s">
        <v>139</v>
      </c>
      <c r="B95" s="115">
        <f>HLOOKUP($B$2,$C$2:F262,ROW(B95)-1)+1</f>
        <v>1</v>
      </c>
      <c r="C95" s="82">
        <v>1</v>
      </c>
      <c r="D95" s="82">
        <v>0</v>
      </c>
      <c r="E95" s="82">
        <v>0</v>
      </c>
      <c r="F95" s="82">
        <v>0</v>
      </c>
      <c r="G95" s="1"/>
    </row>
    <row r="96" spans="1:7" x14ac:dyDescent="0.3">
      <c r="A96" s="15" t="s">
        <v>140</v>
      </c>
      <c r="B96" s="115">
        <f>HLOOKUP($B$2,$C$2:F263,ROW(B96)-1)+1</f>
        <v>1</v>
      </c>
      <c r="C96" s="82">
        <v>1</v>
      </c>
      <c r="D96" s="82">
        <v>0</v>
      </c>
      <c r="E96" s="82">
        <v>0</v>
      </c>
      <c r="F96" s="82">
        <v>0</v>
      </c>
      <c r="G96" s="1"/>
    </row>
    <row r="97" spans="1:7" x14ac:dyDescent="0.3">
      <c r="A97" s="15" t="s">
        <v>141</v>
      </c>
      <c r="B97" s="115">
        <f>HLOOKUP($B$2,$C$2:F264,ROW(B97)-1)+1</f>
        <v>1</v>
      </c>
      <c r="C97" s="82">
        <v>1</v>
      </c>
      <c r="D97" s="82">
        <v>1</v>
      </c>
      <c r="E97" s="82">
        <v>0</v>
      </c>
      <c r="F97" s="82">
        <v>0</v>
      </c>
      <c r="G97" s="1"/>
    </row>
    <row r="98" spans="1:7" x14ac:dyDescent="0.3">
      <c r="A98" s="15" t="s">
        <v>142</v>
      </c>
      <c r="B98" s="115">
        <f>HLOOKUP($B$2,$C$2:F265,ROW(B98)-1)+1</f>
        <v>2</v>
      </c>
      <c r="C98" s="82">
        <v>1</v>
      </c>
      <c r="D98" s="82">
        <v>1</v>
      </c>
      <c r="E98" s="82">
        <v>1</v>
      </c>
      <c r="F98" s="82">
        <v>0</v>
      </c>
      <c r="G98" s="1"/>
    </row>
    <row r="99" spans="1:7" x14ac:dyDescent="0.3">
      <c r="A99" s="15" t="s">
        <v>143</v>
      </c>
      <c r="B99" s="115">
        <f>HLOOKUP($B$2,$C$2:F266,ROW(B99)-1)+1</f>
        <v>2</v>
      </c>
      <c r="C99" s="82">
        <v>1</v>
      </c>
      <c r="D99" s="82">
        <v>1</v>
      </c>
      <c r="E99" s="82">
        <v>1</v>
      </c>
      <c r="F99" s="82">
        <v>0</v>
      </c>
      <c r="G99" s="1"/>
    </row>
    <row r="100" spans="1:7" x14ac:dyDescent="0.3">
      <c r="A100" s="15" t="s">
        <v>144</v>
      </c>
      <c r="B100" s="115">
        <f>HLOOKUP($B$2,$C$2:F267,ROW(B100)-1)+1</f>
        <v>2</v>
      </c>
      <c r="C100" s="82">
        <v>1</v>
      </c>
      <c r="D100" s="82">
        <v>1</v>
      </c>
      <c r="E100" s="82">
        <v>1</v>
      </c>
      <c r="F100" s="82">
        <v>0</v>
      </c>
      <c r="G100" s="1"/>
    </row>
    <row r="101" spans="1:7" x14ac:dyDescent="0.3">
      <c r="A101" s="15" t="s">
        <v>145</v>
      </c>
      <c r="B101" s="115">
        <f>HLOOKUP($B$2,$C$2:F268,ROW(B101)-1)+1</f>
        <v>2</v>
      </c>
      <c r="C101" s="82">
        <v>1</v>
      </c>
      <c r="D101" s="82">
        <v>1</v>
      </c>
      <c r="E101" s="82">
        <v>1</v>
      </c>
      <c r="F101" s="82">
        <v>0</v>
      </c>
      <c r="G101" s="1"/>
    </row>
    <row r="102" spans="1:7" x14ac:dyDescent="0.3">
      <c r="A102" s="15" t="s">
        <v>146</v>
      </c>
      <c r="B102" s="115">
        <f>HLOOKUP($B$2,$C$2:F269,ROW(B102)-1)+1</f>
        <v>2</v>
      </c>
      <c r="C102" s="82">
        <v>1</v>
      </c>
      <c r="D102" s="82">
        <v>1</v>
      </c>
      <c r="E102" s="82">
        <v>1</v>
      </c>
      <c r="F102" s="82">
        <v>0</v>
      </c>
      <c r="G102" s="1"/>
    </row>
    <row r="103" spans="1:7" x14ac:dyDescent="0.3">
      <c r="A103" s="15" t="s">
        <v>147</v>
      </c>
      <c r="B103" s="115">
        <f>HLOOKUP($B$2,$C$2:F270,ROW(B103)-1)+1</f>
        <v>2</v>
      </c>
      <c r="C103" s="82">
        <v>1</v>
      </c>
      <c r="D103" s="82">
        <v>1</v>
      </c>
      <c r="E103" s="82">
        <v>1</v>
      </c>
      <c r="F103" s="82">
        <v>0</v>
      </c>
      <c r="G103" s="1"/>
    </row>
    <row r="104" spans="1:7" x14ac:dyDescent="0.3">
      <c r="A104" s="15" t="s">
        <v>148</v>
      </c>
      <c r="B104" s="115">
        <f>HLOOKUP($B$2,$C$2:F271,ROW(B104)-1)+1</f>
        <v>2</v>
      </c>
      <c r="C104" s="82">
        <v>1</v>
      </c>
      <c r="D104" s="82">
        <v>1</v>
      </c>
      <c r="E104" s="82">
        <v>1</v>
      </c>
      <c r="F104" s="82">
        <v>0</v>
      </c>
      <c r="G104" s="1"/>
    </row>
    <row r="105" spans="1:7" x14ac:dyDescent="0.3">
      <c r="A105" s="15" t="s">
        <v>149</v>
      </c>
      <c r="B105" s="115">
        <f>HLOOKUP($B$2,$C$2:F272,ROW(B105)-1)+1</f>
        <v>2</v>
      </c>
      <c r="C105" s="82">
        <v>1</v>
      </c>
      <c r="D105" s="82">
        <v>1</v>
      </c>
      <c r="E105" s="82">
        <v>1</v>
      </c>
      <c r="F105" s="82">
        <v>0</v>
      </c>
      <c r="G105" s="1"/>
    </row>
    <row r="106" spans="1:7" x14ac:dyDescent="0.3">
      <c r="A106" s="15" t="s">
        <v>150</v>
      </c>
      <c r="B106" s="115">
        <f>HLOOKUP($B$2,$C$2:F273,ROW(B106)-1)+1</f>
        <v>2</v>
      </c>
      <c r="C106" s="82">
        <v>1</v>
      </c>
      <c r="D106" s="82">
        <v>1</v>
      </c>
      <c r="E106" s="82">
        <v>1</v>
      </c>
      <c r="F106" s="82">
        <v>0</v>
      </c>
      <c r="G106" s="1"/>
    </row>
    <row r="107" spans="1:7" x14ac:dyDescent="0.3">
      <c r="A107" s="15" t="s">
        <v>151</v>
      </c>
      <c r="B107" s="115">
        <f>HLOOKUP($B$2,$C$2:F274,ROW(B107)-1)+1</f>
        <v>1</v>
      </c>
      <c r="C107" s="82">
        <v>1</v>
      </c>
      <c r="D107" s="82">
        <v>1</v>
      </c>
      <c r="E107" s="82">
        <v>0</v>
      </c>
      <c r="F107" s="82">
        <v>0</v>
      </c>
      <c r="G107" s="1"/>
    </row>
    <row r="108" spans="1:7" x14ac:dyDescent="0.3">
      <c r="A108" s="15" t="s">
        <v>152</v>
      </c>
      <c r="B108" s="115">
        <f>HLOOKUP($B$2,$C$2:F275,ROW(B108)-1)+1</f>
        <v>1</v>
      </c>
      <c r="C108" s="82">
        <v>1</v>
      </c>
      <c r="D108" s="82">
        <v>1</v>
      </c>
      <c r="E108" s="82">
        <v>0</v>
      </c>
      <c r="F108" s="82">
        <v>0</v>
      </c>
      <c r="G108" s="1"/>
    </row>
    <row r="109" spans="1:7" x14ac:dyDescent="0.3">
      <c r="A109" s="15" t="s">
        <v>153</v>
      </c>
      <c r="B109" s="115">
        <f>HLOOKUP($B$2,$C$2:F276,ROW(B109)-1)+1</f>
        <v>1</v>
      </c>
      <c r="C109" s="82">
        <v>1</v>
      </c>
      <c r="D109" s="82">
        <v>1</v>
      </c>
      <c r="E109" s="82">
        <v>0</v>
      </c>
      <c r="F109" s="82">
        <v>0</v>
      </c>
      <c r="G109" s="1"/>
    </row>
    <row r="110" spans="1:7" x14ac:dyDescent="0.3">
      <c r="A110" s="15" t="s">
        <v>154</v>
      </c>
      <c r="B110" s="115">
        <f>HLOOKUP($B$2,$C$2:F277,ROW(B110)-1)+1</f>
        <v>1</v>
      </c>
      <c r="C110" s="82">
        <v>1</v>
      </c>
      <c r="D110" s="82">
        <v>0</v>
      </c>
      <c r="E110" s="82">
        <v>0</v>
      </c>
      <c r="F110" s="82">
        <v>0</v>
      </c>
      <c r="G110" s="1"/>
    </row>
    <row r="111" spans="1:7" x14ac:dyDescent="0.3">
      <c r="A111" s="15" t="s">
        <v>155</v>
      </c>
      <c r="B111" s="115">
        <f>HLOOKUP($B$2,$C$2:F278,ROW(B111)-1)+1</f>
        <v>1</v>
      </c>
      <c r="C111" s="82">
        <v>1</v>
      </c>
      <c r="D111" s="82">
        <v>0</v>
      </c>
      <c r="E111" s="82">
        <v>0</v>
      </c>
      <c r="F111" s="82">
        <v>0</v>
      </c>
      <c r="G111" s="1"/>
    </row>
    <row r="112" spans="1:7" x14ac:dyDescent="0.3">
      <c r="A112" s="15" t="s">
        <v>156</v>
      </c>
      <c r="B112" s="115">
        <f>HLOOKUP($B$2,$C$2:F279,ROW(B112)-1)+1</f>
        <v>1</v>
      </c>
      <c r="C112" s="82">
        <v>1</v>
      </c>
      <c r="D112" s="82">
        <v>0</v>
      </c>
      <c r="E112" s="82">
        <v>0</v>
      </c>
      <c r="F112" s="82">
        <v>0</v>
      </c>
      <c r="G112" s="1"/>
    </row>
    <row r="113" spans="1:7" x14ac:dyDescent="0.3">
      <c r="A113" s="15" t="s">
        <v>157</v>
      </c>
      <c r="B113" s="115">
        <f>HLOOKUP($B$2,$C$2:F280,ROW(B113)-1)+1</f>
        <v>2</v>
      </c>
      <c r="C113" s="82">
        <v>1</v>
      </c>
      <c r="D113" s="82">
        <v>1</v>
      </c>
      <c r="E113" s="82">
        <v>1</v>
      </c>
      <c r="F113" s="82">
        <v>0</v>
      </c>
      <c r="G113" s="1"/>
    </row>
    <row r="114" spans="1:7" x14ac:dyDescent="0.3">
      <c r="A114" s="15" t="s">
        <v>158</v>
      </c>
      <c r="B114" s="115">
        <f>HLOOKUP($B$2,$C$2:F281,ROW(B114)-1)+1</f>
        <v>2</v>
      </c>
      <c r="C114" s="82">
        <v>1</v>
      </c>
      <c r="D114" s="82">
        <v>1</v>
      </c>
      <c r="E114" s="82">
        <v>1</v>
      </c>
      <c r="F114" s="82">
        <v>0</v>
      </c>
      <c r="G114" s="1"/>
    </row>
    <row r="115" spans="1:7" x14ac:dyDescent="0.3">
      <c r="A115" s="15" t="s">
        <v>159</v>
      </c>
      <c r="B115" s="115">
        <f>HLOOKUP($B$2,$C$2:F282,ROW(B115)-1)+1</f>
        <v>2</v>
      </c>
      <c r="C115" s="82">
        <v>1</v>
      </c>
      <c r="D115" s="82">
        <v>1</v>
      </c>
      <c r="E115" s="82">
        <v>1</v>
      </c>
      <c r="F115" s="82">
        <v>0</v>
      </c>
      <c r="G115" s="1"/>
    </row>
    <row r="116" spans="1:7" x14ac:dyDescent="0.3">
      <c r="A116" s="15" t="s">
        <v>160</v>
      </c>
      <c r="B116" s="115">
        <f>HLOOKUP($B$2,$C$2:F283,ROW(B116)-1)+1</f>
        <v>2</v>
      </c>
      <c r="C116" s="82">
        <v>1</v>
      </c>
      <c r="D116" s="82">
        <v>1</v>
      </c>
      <c r="E116" s="82">
        <v>1</v>
      </c>
      <c r="F116" s="82">
        <v>0</v>
      </c>
      <c r="G116" s="1"/>
    </row>
    <row r="117" spans="1:7" x14ac:dyDescent="0.3">
      <c r="A117" s="15" t="s">
        <v>161</v>
      </c>
      <c r="B117" s="115">
        <f>HLOOKUP($B$2,$C$2:F284,ROW(B117)-1)+1</f>
        <v>2</v>
      </c>
      <c r="C117" s="82">
        <v>1</v>
      </c>
      <c r="D117" s="82">
        <v>1</v>
      </c>
      <c r="E117" s="82">
        <v>1</v>
      </c>
      <c r="F117" s="82">
        <v>0</v>
      </c>
    </row>
    <row r="118" spans="1:7" x14ac:dyDescent="0.3">
      <c r="A118" s="15" t="s">
        <v>162</v>
      </c>
      <c r="B118" s="115">
        <f>HLOOKUP($B$2,$C$2:F285,ROW(B118)-1)+1</f>
        <v>2</v>
      </c>
      <c r="C118" s="82">
        <v>1</v>
      </c>
      <c r="D118" s="82">
        <v>1</v>
      </c>
      <c r="E118" s="82">
        <v>1</v>
      </c>
      <c r="F118" s="82">
        <v>0</v>
      </c>
    </row>
    <row r="119" spans="1:7" x14ac:dyDescent="0.3">
      <c r="A119" s="15" t="s">
        <v>163</v>
      </c>
      <c r="B119" s="115">
        <f>HLOOKUP($B$2,$C$2:F286,ROW(B119)-1)+1</f>
        <v>2</v>
      </c>
      <c r="C119" s="82">
        <v>1</v>
      </c>
      <c r="D119" s="82">
        <v>1</v>
      </c>
      <c r="E119" s="82">
        <v>1</v>
      </c>
      <c r="F119" s="82">
        <v>0</v>
      </c>
    </row>
    <row r="120" spans="1:7" x14ac:dyDescent="0.3">
      <c r="A120" s="15" t="s">
        <v>164</v>
      </c>
      <c r="B120" s="115">
        <f>HLOOKUP($B$2,$C$2:F287,ROW(B120)-1)+1</f>
        <v>2</v>
      </c>
      <c r="C120" s="82">
        <v>1</v>
      </c>
      <c r="D120" s="82">
        <v>1</v>
      </c>
      <c r="E120" s="82">
        <v>1</v>
      </c>
      <c r="F120" s="82">
        <v>0</v>
      </c>
    </row>
    <row r="121" spans="1:7" x14ac:dyDescent="0.3">
      <c r="A121" s="15" t="s">
        <v>165</v>
      </c>
      <c r="B121" s="115">
        <f>HLOOKUP($B$2,$C$2:F288,ROW(B121)-1)+1</f>
        <v>2</v>
      </c>
      <c r="C121" s="82">
        <v>1</v>
      </c>
      <c r="D121" s="82">
        <v>1</v>
      </c>
      <c r="E121" s="82">
        <v>1</v>
      </c>
      <c r="F121" s="82">
        <v>0</v>
      </c>
    </row>
    <row r="122" spans="1:7" x14ac:dyDescent="0.3">
      <c r="A122" s="15" t="s">
        <v>166</v>
      </c>
      <c r="B122" s="115">
        <f>HLOOKUP($B$2,$C$2:F289,ROW(B122)-1)+1</f>
        <v>2</v>
      </c>
      <c r="C122" s="82">
        <v>1</v>
      </c>
      <c r="D122" s="82">
        <v>1</v>
      </c>
      <c r="E122" s="82">
        <v>1</v>
      </c>
      <c r="F122" s="82">
        <v>0</v>
      </c>
    </row>
    <row r="123" spans="1:7" x14ac:dyDescent="0.3">
      <c r="A123" s="15" t="s">
        <v>167</v>
      </c>
      <c r="B123" s="115">
        <f>HLOOKUP($B$2,$C$2:F290,ROW(B123)-1)+1</f>
        <v>2</v>
      </c>
      <c r="C123" s="82">
        <v>1</v>
      </c>
      <c r="D123" s="82">
        <v>1</v>
      </c>
      <c r="E123" s="82">
        <v>1</v>
      </c>
      <c r="F123" s="82">
        <v>0</v>
      </c>
    </row>
    <row r="124" spans="1:7" x14ac:dyDescent="0.3">
      <c r="A124" s="15" t="s">
        <v>168</v>
      </c>
      <c r="B124" s="115">
        <f>HLOOKUP($B$2,$C$2:F291,ROW(B124)-1)+1</f>
        <v>2</v>
      </c>
      <c r="C124" s="82">
        <v>1</v>
      </c>
      <c r="D124" s="82">
        <v>1</v>
      </c>
      <c r="E124" s="82">
        <v>1</v>
      </c>
      <c r="F124" s="82">
        <v>0</v>
      </c>
    </row>
    <row r="125" spans="1:7" x14ac:dyDescent="0.3">
      <c r="A125" s="15" t="s">
        <v>169</v>
      </c>
      <c r="B125" s="115">
        <f>HLOOKUP($B$2,$C$2:F292,ROW(B125)-1)+1</f>
        <v>2</v>
      </c>
      <c r="C125" s="82">
        <v>1</v>
      </c>
      <c r="D125" s="82">
        <v>1</v>
      </c>
      <c r="E125" s="82">
        <v>1</v>
      </c>
      <c r="F125" s="82">
        <v>0</v>
      </c>
    </row>
    <row r="126" spans="1:7" x14ac:dyDescent="0.3">
      <c r="A126" s="15" t="s">
        <v>170</v>
      </c>
      <c r="B126" s="115">
        <f>HLOOKUP($B$2,$C$2:F293,ROW(B126)-1)+1</f>
        <v>2</v>
      </c>
      <c r="C126" s="82">
        <v>1</v>
      </c>
      <c r="D126" s="82">
        <v>1</v>
      </c>
      <c r="E126" s="82">
        <v>1</v>
      </c>
      <c r="F126" s="82">
        <v>0</v>
      </c>
    </row>
    <row r="127" spans="1:7" x14ac:dyDescent="0.3">
      <c r="A127" s="15" t="s">
        <v>171</v>
      </c>
      <c r="B127" s="115">
        <f>HLOOKUP($B$2,$C$2:F294,ROW(B127)-1)+1</f>
        <v>2</v>
      </c>
      <c r="C127" s="82">
        <v>1</v>
      </c>
      <c r="D127" s="82">
        <v>1</v>
      </c>
      <c r="E127" s="82">
        <v>1</v>
      </c>
      <c r="F127" s="82">
        <v>0</v>
      </c>
    </row>
    <row r="128" spans="1:7" x14ac:dyDescent="0.3">
      <c r="A128" s="15" t="s">
        <v>172</v>
      </c>
      <c r="B128" s="115">
        <f>HLOOKUP($B$2,$C$2:F295,ROW(B128)-1)+1</f>
        <v>2</v>
      </c>
      <c r="C128" s="82">
        <v>1</v>
      </c>
      <c r="D128" s="82">
        <v>1</v>
      </c>
      <c r="E128" s="82">
        <v>1</v>
      </c>
      <c r="F128" s="82">
        <v>0</v>
      </c>
    </row>
    <row r="129" spans="1:6" x14ac:dyDescent="0.3">
      <c r="A129" s="15" t="s">
        <v>173</v>
      </c>
      <c r="B129" s="115">
        <f>HLOOKUP($B$2,$C$2:F296,ROW(B129)-1)+1</f>
        <v>2</v>
      </c>
      <c r="C129" s="82">
        <v>1</v>
      </c>
      <c r="D129" s="82">
        <v>1</v>
      </c>
      <c r="E129" s="82">
        <v>1</v>
      </c>
      <c r="F129" s="82">
        <v>0</v>
      </c>
    </row>
    <row r="130" spans="1:6" x14ac:dyDescent="0.3">
      <c r="A130" s="15" t="s">
        <v>174</v>
      </c>
      <c r="B130" s="115">
        <f>HLOOKUP($B$2,$C$2:F297,ROW(B130)-1)+1</f>
        <v>2</v>
      </c>
      <c r="C130" s="82">
        <v>1</v>
      </c>
      <c r="D130" s="82">
        <v>1</v>
      </c>
      <c r="E130" s="82">
        <v>1</v>
      </c>
      <c r="F130" s="82">
        <v>0</v>
      </c>
    </row>
    <row r="131" spans="1:6" x14ac:dyDescent="0.3">
      <c r="A131" s="15" t="s">
        <v>175</v>
      </c>
      <c r="B131" s="115">
        <f>HLOOKUP($B$2,$C$2:F298,ROW(B131)-1)+1</f>
        <v>2</v>
      </c>
      <c r="C131" s="82">
        <v>1</v>
      </c>
      <c r="D131" s="82">
        <v>1</v>
      </c>
      <c r="E131" s="82">
        <v>1</v>
      </c>
      <c r="F131" s="82">
        <v>0</v>
      </c>
    </row>
    <row r="132" spans="1:6" x14ac:dyDescent="0.3">
      <c r="A132" s="15" t="s">
        <v>176</v>
      </c>
      <c r="B132" s="115">
        <f>HLOOKUP($B$2,$C$2:F299,ROW(B132)-1)+1</f>
        <v>2</v>
      </c>
      <c r="C132" s="82">
        <v>1</v>
      </c>
      <c r="D132" s="82">
        <v>1</v>
      </c>
      <c r="E132" s="82">
        <v>1</v>
      </c>
      <c r="F132" s="82">
        <v>0</v>
      </c>
    </row>
    <row r="133" spans="1:6" x14ac:dyDescent="0.3">
      <c r="A133" s="15" t="s">
        <v>177</v>
      </c>
      <c r="B133" s="115">
        <f>HLOOKUP($B$2,$C$2:F300,ROW(B133)-1)+1</f>
        <v>1</v>
      </c>
      <c r="C133" s="82">
        <v>1</v>
      </c>
      <c r="D133" s="82">
        <v>1</v>
      </c>
      <c r="E133" s="82">
        <v>0</v>
      </c>
      <c r="F133" s="82">
        <v>0</v>
      </c>
    </row>
    <row r="134" spans="1:6" x14ac:dyDescent="0.3">
      <c r="A134" s="15" t="s">
        <v>178</v>
      </c>
      <c r="B134" s="115">
        <f>HLOOKUP($B$2,$C$2:F301,ROW(B134)-1)+1</f>
        <v>1</v>
      </c>
      <c r="C134" s="82">
        <v>1</v>
      </c>
      <c r="D134" s="82">
        <v>1</v>
      </c>
      <c r="E134" s="82">
        <v>0</v>
      </c>
      <c r="F134" s="82">
        <v>0</v>
      </c>
    </row>
    <row r="135" spans="1:6" x14ac:dyDescent="0.3">
      <c r="A135" s="15" t="s">
        <v>179</v>
      </c>
      <c r="B135" s="115">
        <f>HLOOKUP($B$2,$C$2:F302,ROW(B135)-1)+1</f>
        <v>1</v>
      </c>
      <c r="C135" s="82">
        <v>1</v>
      </c>
      <c r="D135" s="82">
        <v>1</v>
      </c>
      <c r="E135" s="82">
        <v>0</v>
      </c>
      <c r="F135" s="82">
        <v>0</v>
      </c>
    </row>
    <row r="136" spans="1:6" x14ac:dyDescent="0.3">
      <c r="A136" s="15" t="s">
        <v>180</v>
      </c>
      <c r="B136" s="115">
        <f>HLOOKUP($B$2,$C$2:F303,ROW(B136)-1)+1</f>
        <v>1</v>
      </c>
      <c r="C136" s="82">
        <v>1</v>
      </c>
      <c r="D136" s="82">
        <v>0</v>
      </c>
      <c r="E136" s="82">
        <v>0</v>
      </c>
      <c r="F136" s="82">
        <v>0</v>
      </c>
    </row>
    <row r="137" spans="1:6" x14ac:dyDescent="0.3">
      <c r="A137" s="15" t="s">
        <v>181</v>
      </c>
      <c r="B137" s="115">
        <f>HLOOKUP($B$2,$C$2:F304,ROW(B137)-1)+1</f>
        <v>1</v>
      </c>
      <c r="C137" s="82">
        <v>1</v>
      </c>
      <c r="D137" s="82">
        <v>0</v>
      </c>
      <c r="E137" s="82">
        <v>0</v>
      </c>
      <c r="F137" s="82">
        <v>0</v>
      </c>
    </row>
    <row r="138" spans="1:6" x14ac:dyDescent="0.3">
      <c r="A138" s="15" t="s">
        <v>182</v>
      </c>
      <c r="B138" s="115">
        <f>HLOOKUP($B$2,$C$2:F305,ROW(B138)-1)+1</f>
        <v>2</v>
      </c>
      <c r="C138" s="82">
        <v>1</v>
      </c>
      <c r="D138" s="82">
        <v>1</v>
      </c>
      <c r="E138" s="82">
        <v>1</v>
      </c>
      <c r="F138" s="82">
        <v>0</v>
      </c>
    </row>
    <row r="139" spans="1:6" x14ac:dyDescent="0.3">
      <c r="A139" s="15" t="s">
        <v>183</v>
      </c>
      <c r="B139" s="115">
        <f>HLOOKUP($B$2,$C$2:F306,ROW(B139)-1)+1</f>
        <v>2</v>
      </c>
      <c r="C139" s="82">
        <v>1</v>
      </c>
      <c r="D139" s="82">
        <v>1</v>
      </c>
      <c r="E139" s="82">
        <v>1</v>
      </c>
      <c r="F139" s="82">
        <v>0</v>
      </c>
    </row>
    <row r="140" spans="1:6" x14ac:dyDescent="0.3">
      <c r="A140" s="15" t="s">
        <v>184</v>
      </c>
      <c r="B140" s="115">
        <f>HLOOKUP($B$2,$C$2:F307,ROW(B140)-1)+1</f>
        <v>2</v>
      </c>
      <c r="C140" s="82">
        <v>1</v>
      </c>
      <c r="D140" s="82">
        <v>1</v>
      </c>
      <c r="E140" s="82">
        <v>1</v>
      </c>
      <c r="F140" s="82">
        <v>0</v>
      </c>
    </row>
    <row r="141" spans="1:6" x14ac:dyDescent="0.3">
      <c r="A141" s="15" t="s">
        <v>185</v>
      </c>
      <c r="B141" s="115">
        <f>HLOOKUP($B$2,$C$2:F308,ROW(B141)-1)+1</f>
        <v>2</v>
      </c>
      <c r="C141" s="82">
        <v>1</v>
      </c>
      <c r="D141" s="82">
        <v>1</v>
      </c>
      <c r="E141" s="82">
        <v>1</v>
      </c>
      <c r="F141" s="82">
        <v>0</v>
      </c>
    </row>
    <row r="142" spans="1:6" x14ac:dyDescent="0.3">
      <c r="A142" s="15" t="s">
        <v>186</v>
      </c>
      <c r="B142" s="115">
        <f>HLOOKUP($B$2,$C$2:F309,ROW(B142)-1)+1</f>
        <v>2</v>
      </c>
      <c r="C142" s="82">
        <v>1</v>
      </c>
      <c r="D142" s="82">
        <v>1</v>
      </c>
      <c r="E142" s="82">
        <v>1</v>
      </c>
      <c r="F142" s="82">
        <v>0</v>
      </c>
    </row>
    <row r="143" spans="1:6" x14ac:dyDescent="0.3">
      <c r="A143" s="15" t="s">
        <v>187</v>
      </c>
      <c r="B143" s="115">
        <f>HLOOKUP($B$2,$C$2:F310,ROW(B143)-1)+1</f>
        <v>1</v>
      </c>
      <c r="C143" s="82">
        <v>1</v>
      </c>
      <c r="D143" s="82">
        <v>1</v>
      </c>
      <c r="E143" s="82">
        <v>0</v>
      </c>
      <c r="F143" s="82">
        <v>0</v>
      </c>
    </row>
    <row r="144" spans="1:6" x14ac:dyDescent="0.3">
      <c r="A144" s="15" t="s">
        <v>188</v>
      </c>
      <c r="B144" s="115">
        <f>HLOOKUP($B$2,$C$2:F311,ROW(B144)-1)+1</f>
        <v>1</v>
      </c>
      <c r="C144" s="82">
        <v>1</v>
      </c>
      <c r="D144" s="82">
        <v>1</v>
      </c>
      <c r="E144" s="82">
        <v>0</v>
      </c>
      <c r="F144" s="82">
        <v>0</v>
      </c>
    </row>
    <row r="145" spans="1:6" x14ac:dyDescent="0.3">
      <c r="A145" s="15" t="s">
        <v>189</v>
      </c>
      <c r="B145" s="115">
        <f>HLOOKUP($B$2,$C$2:F312,ROW(B145)-1)+1</f>
        <v>2</v>
      </c>
      <c r="C145" s="82">
        <v>1</v>
      </c>
      <c r="D145" s="82">
        <v>1</v>
      </c>
      <c r="E145" s="82">
        <v>1</v>
      </c>
      <c r="F145" s="82">
        <v>0</v>
      </c>
    </row>
    <row r="146" spans="1:6" x14ac:dyDescent="0.3">
      <c r="A146" s="15" t="s">
        <v>190</v>
      </c>
      <c r="B146" s="115">
        <f>HLOOKUP($B$2,$C$2:F313,ROW(B146)-1)+1</f>
        <v>2</v>
      </c>
      <c r="C146" s="82">
        <v>1</v>
      </c>
      <c r="D146" s="82">
        <v>1</v>
      </c>
      <c r="E146" s="82">
        <v>1</v>
      </c>
      <c r="F146" s="82">
        <v>0</v>
      </c>
    </row>
    <row r="147" spans="1:6" x14ac:dyDescent="0.3">
      <c r="A147" s="15" t="s">
        <v>191</v>
      </c>
      <c r="B147" s="115">
        <f>HLOOKUP($B$2,$C$2:F314,ROW(B147)-1)+1</f>
        <v>2</v>
      </c>
      <c r="C147" s="82">
        <v>1</v>
      </c>
      <c r="D147" s="82">
        <v>1</v>
      </c>
      <c r="E147" s="82">
        <v>1</v>
      </c>
      <c r="F147" s="82">
        <v>0</v>
      </c>
    </row>
    <row r="148" spans="1:6" x14ac:dyDescent="0.3">
      <c r="A148" s="15" t="s">
        <v>192</v>
      </c>
      <c r="B148" s="115">
        <f>HLOOKUP($B$2,$C$2:F315,ROW(B148)-1)+1</f>
        <v>2</v>
      </c>
      <c r="C148" s="82">
        <v>1</v>
      </c>
      <c r="D148" s="82">
        <v>1</v>
      </c>
      <c r="E148" s="82">
        <v>1</v>
      </c>
      <c r="F148" s="82">
        <v>0</v>
      </c>
    </row>
    <row r="149" spans="1:6" x14ac:dyDescent="0.3">
      <c r="A149" s="15" t="s">
        <v>193</v>
      </c>
      <c r="B149" s="115">
        <f>HLOOKUP($B$2,$C$2:F316,ROW(B149)-1)+1</f>
        <v>2</v>
      </c>
      <c r="C149" s="82">
        <v>1</v>
      </c>
      <c r="D149" s="82">
        <v>1</v>
      </c>
      <c r="E149" s="82">
        <v>1</v>
      </c>
      <c r="F149" s="82">
        <v>0</v>
      </c>
    </row>
    <row r="150" spans="1:6" x14ac:dyDescent="0.3">
      <c r="A150" s="15" t="s">
        <v>194</v>
      </c>
      <c r="B150" s="115">
        <f>HLOOKUP($B$2,$C$2:F317,ROW(B150)-1)+1</f>
        <v>2</v>
      </c>
      <c r="C150" s="82">
        <v>1</v>
      </c>
      <c r="D150" s="82">
        <v>1</v>
      </c>
      <c r="E150" s="82">
        <v>1</v>
      </c>
      <c r="F150" s="82">
        <v>0</v>
      </c>
    </row>
    <row r="151" spans="1:6" x14ac:dyDescent="0.3">
      <c r="A151" s="15" t="s">
        <v>195</v>
      </c>
      <c r="B151" s="115">
        <f>HLOOKUP($B$2,$C$2:F318,ROW(B151)-1)+1</f>
        <v>2</v>
      </c>
      <c r="C151" s="82">
        <v>1</v>
      </c>
      <c r="D151" s="82">
        <v>1</v>
      </c>
      <c r="E151" s="82">
        <v>1</v>
      </c>
      <c r="F151" s="82">
        <v>0</v>
      </c>
    </row>
    <row r="152" spans="1:6" x14ac:dyDescent="0.3">
      <c r="A152" s="15" t="s">
        <v>196</v>
      </c>
      <c r="B152" s="115">
        <f>HLOOKUP($B$2,$C$2:F319,ROW(B152)-1)+1</f>
        <v>2</v>
      </c>
      <c r="C152" s="82">
        <v>1</v>
      </c>
      <c r="D152" s="82">
        <v>1</v>
      </c>
      <c r="E152" s="82">
        <v>1</v>
      </c>
      <c r="F152" s="82">
        <v>0</v>
      </c>
    </row>
    <row r="153" spans="1:6" x14ac:dyDescent="0.3">
      <c r="A153" s="15" t="s">
        <v>197</v>
      </c>
      <c r="B153" s="115">
        <f>HLOOKUP($B$2,$C$2:F320,ROW(B153)-1)+1</f>
        <v>2</v>
      </c>
      <c r="C153" s="82">
        <v>1</v>
      </c>
      <c r="D153" s="82">
        <v>1</v>
      </c>
      <c r="E153" s="82">
        <v>1</v>
      </c>
      <c r="F153" s="82">
        <v>0</v>
      </c>
    </row>
    <row r="154" spans="1:6" x14ac:dyDescent="0.3">
      <c r="A154" s="15" t="s">
        <v>198</v>
      </c>
      <c r="B154" s="115">
        <f>HLOOKUP($B$2,$C$2:F321,ROW(B154)-1)+1</f>
        <v>2</v>
      </c>
      <c r="C154" s="82">
        <v>1</v>
      </c>
      <c r="D154" s="82">
        <v>1</v>
      </c>
      <c r="E154" s="82">
        <v>1</v>
      </c>
      <c r="F154" s="82">
        <v>0</v>
      </c>
    </row>
    <row r="155" spans="1:6" x14ac:dyDescent="0.3">
      <c r="A155" s="15" t="s">
        <v>199</v>
      </c>
      <c r="B155" s="115">
        <f>HLOOKUP($B$2,$C$2:F322,ROW(B155)-1)+1</f>
        <v>2</v>
      </c>
      <c r="C155" s="82">
        <v>1</v>
      </c>
      <c r="D155" s="82">
        <v>1</v>
      </c>
      <c r="E155" s="82">
        <v>1</v>
      </c>
      <c r="F155" s="82">
        <v>0</v>
      </c>
    </row>
    <row r="156" spans="1:6" x14ac:dyDescent="0.3">
      <c r="A156" s="15" t="s">
        <v>200</v>
      </c>
      <c r="B156" s="115">
        <f>HLOOKUP($B$2,$C$2:F323,ROW(B156)-1)+1</f>
        <v>2</v>
      </c>
      <c r="C156" s="82">
        <v>1</v>
      </c>
      <c r="D156" s="82">
        <v>1</v>
      </c>
      <c r="E156" s="82">
        <v>1</v>
      </c>
      <c r="F156" s="82">
        <v>0</v>
      </c>
    </row>
    <row r="157" spans="1:6" x14ac:dyDescent="0.3">
      <c r="A157" s="15" t="s">
        <v>201</v>
      </c>
      <c r="B157" s="115">
        <f>HLOOKUP($B$2,$C$2:F324,ROW(B157)-1)+1</f>
        <v>2</v>
      </c>
      <c r="C157" s="82">
        <v>1</v>
      </c>
      <c r="D157" s="82">
        <v>1</v>
      </c>
      <c r="E157" s="82">
        <v>1</v>
      </c>
      <c r="F157" s="82">
        <v>0</v>
      </c>
    </row>
    <row r="158" spans="1:6" x14ac:dyDescent="0.3">
      <c r="A158" s="15" t="s">
        <v>202</v>
      </c>
      <c r="B158" s="115">
        <f>HLOOKUP($B$2,$C$2:F325,ROW(B158)-1)+1</f>
        <v>2</v>
      </c>
      <c r="C158" s="82">
        <v>1</v>
      </c>
      <c r="D158" s="82">
        <v>1</v>
      </c>
      <c r="E158" s="82">
        <v>1</v>
      </c>
      <c r="F158" s="82">
        <v>0</v>
      </c>
    </row>
    <row r="159" spans="1:6" x14ac:dyDescent="0.3">
      <c r="A159" s="15" t="s">
        <v>203</v>
      </c>
      <c r="B159" s="115">
        <f>HLOOKUP($B$2,$C$2:F326,ROW(B159)-1)+1</f>
        <v>2</v>
      </c>
      <c r="C159" s="82">
        <v>1</v>
      </c>
      <c r="D159" s="82">
        <v>1</v>
      </c>
      <c r="E159" s="82">
        <v>1</v>
      </c>
      <c r="F159" s="82">
        <v>0</v>
      </c>
    </row>
    <row r="160" spans="1:6" x14ac:dyDescent="0.3">
      <c r="A160" s="15" t="s">
        <v>204</v>
      </c>
      <c r="B160" s="115">
        <f>HLOOKUP($B$2,$C$2:F327,ROW(B160)-1)+1</f>
        <v>2</v>
      </c>
      <c r="C160" s="82">
        <v>1</v>
      </c>
      <c r="D160" s="82">
        <v>1</v>
      </c>
      <c r="E160" s="82">
        <v>1</v>
      </c>
      <c r="F160" s="82">
        <v>0</v>
      </c>
    </row>
    <row r="161" spans="1:7" x14ac:dyDescent="0.3">
      <c r="A161" s="15" t="s">
        <v>205</v>
      </c>
      <c r="B161" s="115">
        <f>HLOOKUP($B$2,$C$2:F328,ROW(B161)-1)+1</f>
        <v>2</v>
      </c>
      <c r="C161" s="82">
        <v>1</v>
      </c>
      <c r="D161" s="82">
        <v>1</v>
      </c>
      <c r="E161" s="82">
        <v>1</v>
      </c>
      <c r="F161" s="82">
        <v>0</v>
      </c>
    </row>
    <row r="162" spans="1:7" x14ac:dyDescent="0.3">
      <c r="A162" s="15" t="s">
        <v>206</v>
      </c>
      <c r="B162" s="115">
        <f>HLOOKUP($B$2,$C$2:F329,ROW(B162)-1)+1</f>
        <v>2</v>
      </c>
      <c r="C162" s="82">
        <v>1</v>
      </c>
      <c r="D162" s="82">
        <v>1</v>
      </c>
      <c r="E162" s="82">
        <v>1</v>
      </c>
      <c r="F162" s="82">
        <v>0</v>
      </c>
    </row>
    <row r="163" spans="1:7" x14ac:dyDescent="0.3">
      <c r="A163" s="15" t="s">
        <v>207</v>
      </c>
      <c r="B163" s="115">
        <f>HLOOKUP($B$2,$C$2:F330,ROW(B163)-1)+1</f>
        <v>2</v>
      </c>
      <c r="C163" s="82">
        <v>1</v>
      </c>
      <c r="D163" s="82">
        <v>1</v>
      </c>
      <c r="E163" s="82">
        <v>1</v>
      </c>
      <c r="F163" s="82">
        <v>0</v>
      </c>
    </row>
    <row r="164" spans="1:7" x14ac:dyDescent="0.3">
      <c r="A164" s="15" t="s">
        <v>208</v>
      </c>
      <c r="B164" s="115">
        <f>HLOOKUP($B$2,$C$2:F331,ROW(B164)-1)+1</f>
        <v>2</v>
      </c>
      <c r="C164" s="82">
        <v>1</v>
      </c>
      <c r="D164" s="82">
        <v>1</v>
      </c>
      <c r="E164" s="82">
        <v>1</v>
      </c>
      <c r="F164" s="82">
        <v>0</v>
      </c>
    </row>
    <row r="165" spans="1:7" x14ac:dyDescent="0.3">
      <c r="A165" s="15" t="s">
        <v>209</v>
      </c>
      <c r="B165" s="115">
        <f>HLOOKUP($B$2,$C$2:F332,ROW(B165)-1)+1</f>
        <v>1</v>
      </c>
      <c r="C165" s="82">
        <v>1</v>
      </c>
      <c r="D165" s="82">
        <v>1</v>
      </c>
      <c r="E165" s="82">
        <v>0</v>
      </c>
      <c r="F165" s="82">
        <v>0</v>
      </c>
    </row>
    <row r="166" spans="1:7" x14ac:dyDescent="0.3">
      <c r="A166" s="15" t="s">
        <v>210</v>
      </c>
      <c r="B166" s="115">
        <f>HLOOKUP($B$2,$C$2:F333,ROW(B166)-1)+1</f>
        <v>1</v>
      </c>
      <c r="C166" s="82">
        <v>1</v>
      </c>
      <c r="D166" s="82">
        <v>1</v>
      </c>
      <c r="E166" s="82">
        <v>0</v>
      </c>
      <c r="F166" s="82">
        <v>0</v>
      </c>
    </row>
    <row r="167" spans="1:7" x14ac:dyDescent="0.3">
      <c r="A167" s="15" t="s">
        <v>211</v>
      </c>
      <c r="B167" s="115">
        <f>HLOOKUP($B$2,$C$2:F334,ROW(B167)-1)+1</f>
        <v>1</v>
      </c>
      <c r="C167" s="82">
        <v>1</v>
      </c>
      <c r="D167" s="82">
        <v>1</v>
      </c>
      <c r="E167" s="82">
        <v>0</v>
      </c>
      <c r="F167" s="82">
        <v>0</v>
      </c>
    </row>
    <row r="168" spans="1:7" x14ac:dyDescent="0.3">
      <c r="A168" s="15" t="s">
        <v>212</v>
      </c>
      <c r="B168" s="115">
        <f>HLOOKUP($B$2,$C$2:F335,ROW(B168)-1)+1</f>
        <v>1</v>
      </c>
      <c r="C168" s="82">
        <v>1</v>
      </c>
      <c r="D168" s="82">
        <v>1</v>
      </c>
      <c r="E168" s="82">
        <v>0</v>
      </c>
      <c r="F168" s="82">
        <v>0</v>
      </c>
    </row>
    <row r="169" spans="1:7" x14ac:dyDescent="0.3">
      <c r="A169" s="15" t="s">
        <v>213</v>
      </c>
      <c r="B169" s="115">
        <f>HLOOKUP($B$2,$C$2:F336,ROW(B169)-1)+1</f>
        <v>2</v>
      </c>
      <c r="C169" s="82">
        <v>1</v>
      </c>
      <c r="D169" s="82">
        <v>1</v>
      </c>
      <c r="E169" s="82">
        <v>1</v>
      </c>
      <c r="F169" s="82">
        <v>0</v>
      </c>
    </row>
    <row r="170" spans="1:7" x14ac:dyDescent="0.3">
      <c r="A170" s="15" t="s">
        <v>45</v>
      </c>
      <c r="B170" s="115">
        <f>HLOOKUP($B$2,$C$2:F337,ROW(B170)-1)+1</f>
        <v>2</v>
      </c>
      <c r="C170" s="82">
        <v>1</v>
      </c>
      <c r="D170" s="82">
        <v>1</v>
      </c>
      <c r="E170" s="82">
        <v>1</v>
      </c>
      <c r="F170" s="82">
        <v>0</v>
      </c>
    </row>
    <row r="171" spans="1:7" s="84" customFormat="1" x14ac:dyDescent="0.3">
      <c r="B171" s="115">
        <f t="shared" ref="B171:B195" si="0">D171+1</f>
        <v>2</v>
      </c>
      <c r="C171" s="83">
        <v>1</v>
      </c>
      <c r="D171" s="83">
        <v>1</v>
      </c>
      <c r="E171" s="83">
        <v>1</v>
      </c>
      <c r="F171" s="83">
        <v>0</v>
      </c>
    </row>
    <row r="172" spans="1:7" s="1" customFormat="1" x14ac:dyDescent="0.3">
      <c r="B172" s="115">
        <f t="shared" si="0"/>
        <v>2</v>
      </c>
      <c r="C172" s="82">
        <v>1</v>
      </c>
      <c r="D172" s="82">
        <v>1</v>
      </c>
      <c r="E172" s="82">
        <v>1</v>
      </c>
      <c r="F172" s="82">
        <v>0</v>
      </c>
      <c r="G172"/>
    </row>
    <row r="173" spans="1:7" s="1" customFormat="1" x14ac:dyDescent="0.3">
      <c r="B173" s="115">
        <f t="shared" si="0"/>
        <v>2</v>
      </c>
      <c r="C173" s="82">
        <v>1</v>
      </c>
      <c r="D173" s="82">
        <v>1</v>
      </c>
      <c r="E173" s="82">
        <v>1</v>
      </c>
      <c r="F173" s="82">
        <v>0</v>
      </c>
      <c r="G173"/>
    </row>
    <row r="174" spans="1:7" s="1" customFormat="1" x14ac:dyDescent="0.3">
      <c r="B174" s="115">
        <f t="shared" si="0"/>
        <v>2</v>
      </c>
      <c r="C174" s="82">
        <v>1</v>
      </c>
      <c r="D174" s="82">
        <v>1</v>
      </c>
      <c r="E174" s="82">
        <v>1</v>
      </c>
      <c r="F174" s="82">
        <v>0</v>
      </c>
      <c r="G174"/>
    </row>
    <row r="175" spans="1:7" s="1" customFormat="1" x14ac:dyDescent="0.3">
      <c r="B175" s="115">
        <f t="shared" si="0"/>
        <v>2</v>
      </c>
      <c r="C175" s="82">
        <v>1</v>
      </c>
      <c r="D175" s="82">
        <v>1</v>
      </c>
      <c r="E175" s="82">
        <v>1</v>
      </c>
      <c r="F175" s="82">
        <v>0</v>
      </c>
      <c r="G175"/>
    </row>
    <row r="176" spans="1:7" s="1" customFormat="1" x14ac:dyDescent="0.3">
      <c r="B176" s="115">
        <f t="shared" si="0"/>
        <v>2</v>
      </c>
      <c r="C176" s="82">
        <v>1</v>
      </c>
      <c r="D176" s="82">
        <v>1</v>
      </c>
      <c r="E176" s="82">
        <v>1</v>
      </c>
      <c r="F176" s="82">
        <v>0</v>
      </c>
      <c r="G176"/>
    </row>
    <row r="177" spans="2:7" s="1" customFormat="1" x14ac:dyDescent="0.3">
      <c r="B177" s="115">
        <f t="shared" si="0"/>
        <v>2</v>
      </c>
      <c r="C177" s="82">
        <v>1</v>
      </c>
      <c r="D177" s="82">
        <v>1</v>
      </c>
      <c r="E177" s="82">
        <v>1</v>
      </c>
      <c r="F177" s="82">
        <v>0</v>
      </c>
      <c r="G177"/>
    </row>
    <row r="178" spans="2:7" s="1" customFormat="1" x14ac:dyDescent="0.3">
      <c r="B178" s="115">
        <f t="shared" si="0"/>
        <v>2</v>
      </c>
      <c r="C178" s="82">
        <v>1</v>
      </c>
      <c r="D178" s="82">
        <v>1</v>
      </c>
      <c r="E178" s="82">
        <v>1</v>
      </c>
      <c r="F178" s="82">
        <v>0</v>
      </c>
      <c r="G178"/>
    </row>
    <row r="179" spans="2:7" s="1" customFormat="1" x14ac:dyDescent="0.3">
      <c r="B179" s="115">
        <f t="shared" si="0"/>
        <v>2</v>
      </c>
      <c r="C179" s="82">
        <v>1</v>
      </c>
      <c r="D179" s="82">
        <v>1</v>
      </c>
      <c r="E179" s="82">
        <v>1</v>
      </c>
      <c r="F179" s="82">
        <v>0</v>
      </c>
      <c r="G179"/>
    </row>
    <row r="180" spans="2:7" s="1" customFormat="1" x14ac:dyDescent="0.3">
      <c r="B180" s="115">
        <f t="shared" si="0"/>
        <v>2</v>
      </c>
      <c r="C180" s="82">
        <v>1</v>
      </c>
      <c r="D180" s="82">
        <v>1</v>
      </c>
      <c r="E180" s="82">
        <v>1</v>
      </c>
      <c r="F180" s="82">
        <v>0</v>
      </c>
      <c r="G180"/>
    </row>
    <row r="181" spans="2:7" s="1" customFormat="1" x14ac:dyDescent="0.3">
      <c r="B181" s="115">
        <f t="shared" si="0"/>
        <v>2</v>
      </c>
      <c r="C181" s="82">
        <v>1</v>
      </c>
      <c r="D181" s="82">
        <v>1</v>
      </c>
      <c r="E181" s="82">
        <v>1</v>
      </c>
      <c r="F181" s="82">
        <v>0</v>
      </c>
      <c r="G181"/>
    </row>
    <row r="182" spans="2:7" s="1" customFormat="1" x14ac:dyDescent="0.3">
      <c r="B182" s="115">
        <f t="shared" si="0"/>
        <v>2</v>
      </c>
      <c r="C182" s="82">
        <v>1</v>
      </c>
      <c r="D182" s="82">
        <v>1</v>
      </c>
      <c r="E182" s="82">
        <v>1</v>
      </c>
      <c r="F182" s="82">
        <v>0</v>
      </c>
      <c r="G182"/>
    </row>
    <row r="183" spans="2:7" s="1" customFormat="1" x14ac:dyDescent="0.3">
      <c r="B183" s="115">
        <f t="shared" si="0"/>
        <v>2</v>
      </c>
      <c r="C183" s="82">
        <v>1</v>
      </c>
      <c r="D183" s="82">
        <v>1</v>
      </c>
      <c r="E183" s="82">
        <v>1</v>
      </c>
      <c r="F183" s="82">
        <v>0</v>
      </c>
      <c r="G183"/>
    </row>
    <row r="184" spans="2:7" s="1" customFormat="1" x14ac:dyDescent="0.3">
      <c r="B184" s="115">
        <f t="shared" si="0"/>
        <v>2</v>
      </c>
      <c r="C184" s="82">
        <v>1</v>
      </c>
      <c r="D184" s="82">
        <v>1</v>
      </c>
      <c r="E184" s="82">
        <v>1</v>
      </c>
      <c r="F184" s="82">
        <v>0</v>
      </c>
      <c r="G184"/>
    </row>
    <row r="185" spans="2:7" s="1" customFormat="1" x14ac:dyDescent="0.3">
      <c r="B185" s="115">
        <f t="shared" si="0"/>
        <v>2</v>
      </c>
      <c r="C185" s="82">
        <v>1</v>
      </c>
      <c r="D185" s="82">
        <v>1</v>
      </c>
      <c r="E185" s="82">
        <v>1</v>
      </c>
      <c r="F185" s="82">
        <v>0</v>
      </c>
      <c r="G185"/>
    </row>
    <row r="186" spans="2:7" s="1" customFormat="1" x14ac:dyDescent="0.3">
      <c r="B186" s="115">
        <f t="shared" si="0"/>
        <v>2</v>
      </c>
      <c r="C186" s="82">
        <v>1</v>
      </c>
      <c r="D186" s="82">
        <v>1</v>
      </c>
      <c r="E186" s="82">
        <v>1</v>
      </c>
      <c r="F186" s="82">
        <v>0</v>
      </c>
      <c r="G186"/>
    </row>
    <row r="187" spans="2:7" s="1" customFormat="1" x14ac:dyDescent="0.3">
      <c r="B187" s="115">
        <f t="shared" si="0"/>
        <v>2</v>
      </c>
      <c r="C187" s="82">
        <v>1</v>
      </c>
      <c r="D187" s="82">
        <v>1</v>
      </c>
      <c r="E187" s="82">
        <v>1</v>
      </c>
      <c r="F187" s="82">
        <v>0</v>
      </c>
      <c r="G187"/>
    </row>
    <row r="188" spans="2:7" s="1" customFormat="1" x14ac:dyDescent="0.3">
      <c r="B188" s="115">
        <f t="shared" si="0"/>
        <v>2</v>
      </c>
      <c r="C188" s="82">
        <v>1</v>
      </c>
      <c r="D188" s="82">
        <v>1</v>
      </c>
      <c r="E188" s="82">
        <v>1</v>
      </c>
      <c r="F188" s="82">
        <v>0</v>
      </c>
      <c r="G188"/>
    </row>
    <row r="189" spans="2:7" s="1" customFormat="1" x14ac:dyDescent="0.3">
      <c r="B189" s="115">
        <f t="shared" si="0"/>
        <v>1</v>
      </c>
      <c r="C189" s="82">
        <v>1</v>
      </c>
      <c r="D189" s="82">
        <v>0</v>
      </c>
      <c r="E189" s="82">
        <v>0</v>
      </c>
      <c r="F189" s="82">
        <v>0</v>
      </c>
      <c r="G189"/>
    </row>
    <row r="190" spans="2:7" s="1" customFormat="1" x14ac:dyDescent="0.3">
      <c r="B190" s="115">
        <f t="shared" si="0"/>
        <v>1</v>
      </c>
      <c r="C190" s="82">
        <v>1</v>
      </c>
      <c r="D190" s="82">
        <v>0</v>
      </c>
      <c r="E190" s="82">
        <v>0</v>
      </c>
      <c r="F190" s="82">
        <v>0</v>
      </c>
      <c r="G190"/>
    </row>
    <row r="191" spans="2:7" s="1" customFormat="1" x14ac:dyDescent="0.3">
      <c r="B191" s="115">
        <f t="shared" si="0"/>
        <v>2</v>
      </c>
      <c r="C191" s="82">
        <v>1</v>
      </c>
      <c r="D191" s="82">
        <v>1</v>
      </c>
      <c r="E191" s="82">
        <v>0</v>
      </c>
      <c r="F191" s="82">
        <v>0</v>
      </c>
      <c r="G191"/>
    </row>
    <row r="192" spans="2:7" s="1" customFormat="1" x14ac:dyDescent="0.3">
      <c r="B192" s="115">
        <f t="shared" si="0"/>
        <v>2</v>
      </c>
      <c r="C192" s="82">
        <v>1</v>
      </c>
      <c r="D192" s="82">
        <v>1</v>
      </c>
      <c r="E192" s="82">
        <v>0</v>
      </c>
      <c r="F192" s="82">
        <v>0</v>
      </c>
      <c r="G192"/>
    </row>
    <row r="193" spans="2:7" s="1" customFormat="1" x14ac:dyDescent="0.3">
      <c r="B193" s="115">
        <f t="shared" si="0"/>
        <v>2</v>
      </c>
      <c r="C193" s="82">
        <v>1</v>
      </c>
      <c r="D193" s="82">
        <v>1</v>
      </c>
      <c r="E193" s="82">
        <v>1</v>
      </c>
      <c r="F193" s="82">
        <v>0</v>
      </c>
      <c r="G193"/>
    </row>
    <row r="194" spans="2:7" s="1" customFormat="1" x14ac:dyDescent="0.3">
      <c r="B194" s="115">
        <f t="shared" si="0"/>
        <v>2</v>
      </c>
      <c r="C194" s="82">
        <v>1</v>
      </c>
      <c r="D194" s="82">
        <v>1</v>
      </c>
      <c r="E194" s="82">
        <v>1</v>
      </c>
      <c r="F194" s="82">
        <v>0</v>
      </c>
      <c r="G194"/>
    </row>
    <row r="195" spans="2:7" s="1" customFormat="1" x14ac:dyDescent="0.3">
      <c r="B195" s="115">
        <f t="shared" si="0"/>
        <v>2</v>
      </c>
      <c r="C195" s="82">
        <v>1</v>
      </c>
      <c r="D195" s="82">
        <v>1</v>
      </c>
      <c r="E195" s="82">
        <v>1</v>
      </c>
      <c r="F195" s="82">
        <v>0</v>
      </c>
      <c r="G195"/>
    </row>
    <row r="196" spans="2:7" s="1" customFormat="1" x14ac:dyDescent="0.3">
      <c r="B196" s="115">
        <f t="shared" ref="B196" si="1">D196+1</f>
        <v>2</v>
      </c>
      <c r="C196" s="82">
        <v>1</v>
      </c>
      <c r="D196" s="82">
        <v>1</v>
      </c>
      <c r="E196" s="82">
        <v>1</v>
      </c>
      <c r="F196" s="82">
        <v>0</v>
      </c>
      <c r="G196"/>
    </row>
    <row r="197" spans="2:7" s="1" customFormat="1" x14ac:dyDescent="0.3">
      <c r="C197" s="82">
        <v>1</v>
      </c>
      <c r="D197" s="82">
        <v>1</v>
      </c>
      <c r="E197" s="82">
        <v>1</v>
      </c>
      <c r="F197" s="82">
        <v>0</v>
      </c>
      <c r="G197"/>
    </row>
    <row r="198" spans="2:7" s="1" customFormat="1" x14ac:dyDescent="0.3">
      <c r="C198" s="82">
        <v>1</v>
      </c>
      <c r="D198" s="82">
        <v>1</v>
      </c>
      <c r="E198" s="82">
        <v>1</v>
      </c>
      <c r="F198" s="82">
        <v>0</v>
      </c>
      <c r="G198"/>
    </row>
    <row r="199" spans="2:7" s="1" customFormat="1" x14ac:dyDescent="0.3">
      <c r="C199" s="82">
        <v>1</v>
      </c>
      <c r="D199" s="82">
        <v>1</v>
      </c>
      <c r="E199" s="82">
        <v>1</v>
      </c>
      <c r="F199" s="82">
        <v>0</v>
      </c>
      <c r="G199"/>
    </row>
    <row r="200" spans="2:7" s="1" customFormat="1" x14ac:dyDescent="0.3">
      <c r="C200" s="82">
        <v>1</v>
      </c>
      <c r="D200" s="82">
        <v>1</v>
      </c>
      <c r="E200" s="82">
        <v>1</v>
      </c>
      <c r="F200" s="82">
        <v>0</v>
      </c>
      <c r="G200"/>
    </row>
    <row r="201" spans="2:7" s="1" customFormat="1" x14ac:dyDescent="0.3">
      <c r="C201" s="82">
        <v>1</v>
      </c>
      <c r="D201" s="82">
        <v>1</v>
      </c>
      <c r="E201" s="82">
        <v>1</v>
      </c>
      <c r="F201" s="82">
        <v>0</v>
      </c>
      <c r="G201"/>
    </row>
    <row r="202" spans="2:7" s="1" customFormat="1" x14ac:dyDescent="0.3">
      <c r="C202" s="82">
        <v>1</v>
      </c>
      <c r="D202" s="82">
        <v>1</v>
      </c>
      <c r="E202" s="82">
        <v>1</v>
      </c>
      <c r="F202" s="82">
        <v>0</v>
      </c>
      <c r="G202"/>
    </row>
    <row r="203" spans="2:7" s="1" customFormat="1" x14ac:dyDescent="0.3">
      <c r="C203" s="82">
        <v>1</v>
      </c>
      <c r="D203" s="82">
        <v>1</v>
      </c>
      <c r="E203" s="82">
        <v>1</v>
      </c>
      <c r="F203" s="82">
        <v>0</v>
      </c>
      <c r="G203"/>
    </row>
    <row r="204" spans="2:7" s="1" customFormat="1" x14ac:dyDescent="0.3">
      <c r="C204" s="82">
        <v>1</v>
      </c>
      <c r="D204" s="82">
        <v>1</v>
      </c>
      <c r="E204" s="82">
        <v>1</v>
      </c>
      <c r="F204" s="82">
        <v>0</v>
      </c>
      <c r="G204"/>
    </row>
    <row r="205" spans="2:7" s="1" customFormat="1" x14ac:dyDescent="0.3">
      <c r="C205" s="82">
        <v>1</v>
      </c>
      <c r="D205" s="82">
        <v>1</v>
      </c>
      <c r="E205" s="82">
        <v>1</v>
      </c>
      <c r="F205" s="82">
        <v>0</v>
      </c>
      <c r="G205"/>
    </row>
    <row r="206" spans="2:7" s="1" customFormat="1" x14ac:dyDescent="0.3">
      <c r="C206" s="82">
        <v>1</v>
      </c>
      <c r="D206" s="82">
        <v>1</v>
      </c>
      <c r="E206" s="82">
        <v>1</v>
      </c>
      <c r="F206" s="82">
        <v>0</v>
      </c>
      <c r="G206"/>
    </row>
    <row r="207" spans="2:7" s="1" customFormat="1" x14ac:dyDescent="0.3">
      <c r="C207" s="82">
        <v>1</v>
      </c>
      <c r="D207" s="82">
        <v>1</v>
      </c>
      <c r="E207" s="82">
        <v>1</v>
      </c>
      <c r="F207" s="82">
        <v>0</v>
      </c>
      <c r="G207"/>
    </row>
    <row r="208" spans="2:7" s="1" customFormat="1" x14ac:dyDescent="0.3">
      <c r="C208" s="82">
        <v>1</v>
      </c>
      <c r="D208" s="82">
        <v>1</v>
      </c>
      <c r="E208" s="82">
        <v>1</v>
      </c>
      <c r="F208" s="82">
        <v>0</v>
      </c>
      <c r="G208"/>
    </row>
    <row r="209" spans="3:7" s="1" customFormat="1" x14ac:dyDescent="0.3">
      <c r="C209" s="82">
        <v>1</v>
      </c>
      <c r="D209" s="82">
        <v>1</v>
      </c>
      <c r="E209" s="82">
        <v>0</v>
      </c>
      <c r="F209" s="82">
        <v>0</v>
      </c>
      <c r="G209"/>
    </row>
    <row r="210" spans="3:7" s="1" customFormat="1" x14ac:dyDescent="0.3">
      <c r="C210" s="82">
        <v>1</v>
      </c>
      <c r="D210" s="82">
        <v>1</v>
      </c>
      <c r="E210" s="82">
        <v>0</v>
      </c>
      <c r="F210" s="82">
        <v>0</v>
      </c>
      <c r="G210"/>
    </row>
    <row r="211" spans="3:7" s="1" customFormat="1" x14ac:dyDescent="0.3">
      <c r="C211" s="82">
        <v>1</v>
      </c>
      <c r="D211" s="82">
        <v>1</v>
      </c>
      <c r="E211" s="82">
        <v>0</v>
      </c>
      <c r="F211" s="82">
        <v>0</v>
      </c>
      <c r="G211"/>
    </row>
    <row r="212" spans="3:7" s="1" customFormat="1" x14ac:dyDescent="0.3">
      <c r="C212" s="82">
        <v>1</v>
      </c>
      <c r="D212" s="82">
        <v>1</v>
      </c>
      <c r="E212" s="82">
        <v>0</v>
      </c>
      <c r="F212" s="82">
        <v>0</v>
      </c>
      <c r="G212"/>
    </row>
    <row r="213" spans="3:7" s="1" customFormat="1" x14ac:dyDescent="0.3">
      <c r="C213" s="82">
        <v>1</v>
      </c>
      <c r="D213" s="82">
        <v>1</v>
      </c>
      <c r="E213" s="82">
        <v>1</v>
      </c>
      <c r="F213" s="82">
        <v>0</v>
      </c>
      <c r="G213"/>
    </row>
    <row r="214" spans="3:7" s="1" customFormat="1" x14ac:dyDescent="0.3">
      <c r="C214" s="82">
        <v>1</v>
      </c>
      <c r="D214" s="82">
        <v>1</v>
      </c>
      <c r="E214" s="82">
        <v>1</v>
      </c>
      <c r="F214" s="82">
        <v>0</v>
      </c>
      <c r="G214"/>
    </row>
    <row r="215" spans="3:7" s="1" customFormat="1" x14ac:dyDescent="0.3">
      <c r="C215" s="82">
        <v>1</v>
      </c>
      <c r="D215" s="82">
        <v>1</v>
      </c>
      <c r="E215" s="82">
        <v>1</v>
      </c>
      <c r="F215" s="82">
        <v>0</v>
      </c>
      <c r="G215"/>
    </row>
    <row r="216" spans="3:7" s="1" customFormat="1" x14ac:dyDescent="0.3">
      <c r="C216" s="82">
        <v>1</v>
      </c>
      <c r="D216" s="82">
        <v>1</v>
      </c>
      <c r="E216" s="82">
        <v>0</v>
      </c>
      <c r="F216" s="82">
        <v>0</v>
      </c>
      <c r="G216"/>
    </row>
    <row r="217" spans="3:7" s="1" customFormat="1" x14ac:dyDescent="0.3">
      <c r="C217" s="82">
        <v>1</v>
      </c>
      <c r="D217" s="82">
        <v>1</v>
      </c>
      <c r="E217" s="82">
        <v>0</v>
      </c>
      <c r="F217" s="82">
        <v>0</v>
      </c>
      <c r="G217"/>
    </row>
    <row r="218" spans="3:7" s="1" customFormat="1" x14ac:dyDescent="0.3">
      <c r="C218" s="82">
        <v>1</v>
      </c>
      <c r="D218" s="82">
        <v>1</v>
      </c>
      <c r="E218" s="82">
        <v>1</v>
      </c>
      <c r="F218" s="82">
        <v>0</v>
      </c>
      <c r="G218"/>
    </row>
    <row r="219" spans="3:7" s="1" customFormat="1" x14ac:dyDescent="0.3">
      <c r="C219" s="82">
        <v>1</v>
      </c>
      <c r="D219" s="82">
        <v>1</v>
      </c>
      <c r="E219" s="82">
        <v>1</v>
      </c>
      <c r="F219" s="82">
        <v>0</v>
      </c>
      <c r="G219"/>
    </row>
    <row r="220" spans="3:7" s="1" customFormat="1" x14ac:dyDescent="0.3">
      <c r="C220" s="82">
        <v>1</v>
      </c>
      <c r="D220" s="82">
        <v>1</v>
      </c>
      <c r="E220" s="82">
        <v>1</v>
      </c>
      <c r="F220" s="82">
        <v>0</v>
      </c>
      <c r="G220"/>
    </row>
    <row r="221" spans="3:7" s="1" customFormat="1" x14ac:dyDescent="0.3">
      <c r="C221" s="82">
        <v>1</v>
      </c>
      <c r="D221" s="82">
        <v>1</v>
      </c>
      <c r="E221" s="82">
        <v>1</v>
      </c>
      <c r="F221" s="82">
        <v>0</v>
      </c>
      <c r="G221"/>
    </row>
    <row r="222" spans="3:7" s="1" customFormat="1" x14ac:dyDescent="0.3">
      <c r="C222" s="82">
        <v>1</v>
      </c>
      <c r="D222" s="82">
        <v>1</v>
      </c>
      <c r="E222" s="82">
        <v>1</v>
      </c>
      <c r="F222" s="82">
        <v>0</v>
      </c>
      <c r="G222"/>
    </row>
    <row r="223" spans="3:7" s="1" customFormat="1" x14ac:dyDescent="0.3">
      <c r="C223" s="82">
        <v>1</v>
      </c>
      <c r="D223" s="82">
        <v>1</v>
      </c>
      <c r="E223" s="82">
        <v>1</v>
      </c>
      <c r="F223" s="82">
        <v>0</v>
      </c>
      <c r="G223"/>
    </row>
    <row r="224" spans="3:7" s="1" customFormat="1" x14ac:dyDescent="0.3">
      <c r="C224" s="82">
        <v>1</v>
      </c>
      <c r="D224" s="82">
        <v>1</v>
      </c>
      <c r="E224" s="82">
        <v>1</v>
      </c>
      <c r="F224" s="82">
        <v>0</v>
      </c>
      <c r="G224"/>
    </row>
    <row r="225" spans="3:7" s="1" customFormat="1" x14ac:dyDescent="0.3">
      <c r="C225" s="82">
        <v>1</v>
      </c>
      <c r="D225" s="82">
        <v>1</v>
      </c>
      <c r="E225" s="82">
        <v>1</v>
      </c>
      <c r="F225" s="82">
        <v>0</v>
      </c>
      <c r="G225"/>
    </row>
    <row r="226" spans="3:7" s="1" customFormat="1" x14ac:dyDescent="0.3">
      <c r="C226" s="82">
        <v>1</v>
      </c>
      <c r="D226" s="82">
        <v>1</v>
      </c>
      <c r="E226" s="82">
        <v>1</v>
      </c>
      <c r="F226" s="82">
        <v>0</v>
      </c>
      <c r="G226"/>
    </row>
    <row r="227" spans="3:7" s="1" customFormat="1" x14ac:dyDescent="0.3">
      <c r="C227" s="82">
        <v>1</v>
      </c>
      <c r="D227" s="82">
        <v>1</v>
      </c>
      <c r="E227" s="82">
        <v>1</v>
      </c>
      <c r="F227" s="82">
        <v>0</v>
      </c>
      <c r="G227"/>
    </row>
    <row r="228" spans="3:7" s="1" customFormat="1" x14ac:dyDescent="0.3">
      <c r="C228" s="82">
        <v>1</v>
      </c>
      <c r="D228" s="82">
        <v>1</v>
      </c>
      <c r="E228" s="82">
        <v>1</v>
      </c>
      <c r="F228" s="82">
        <v>0</v>
      </c>
      <c r="G228"/>
    </row>
    <row r="229" spans="3:7" s="1" customFormat="1" x14ac:dyDescent="0.3">
      <c r="C229" s="82">
        <v>1</v>
      </c>
      <c r="D229" s="82">
        <v>0</v>
      </c>
      <c r="E229" s="82">
        <v>0</v>
      </c>
      <c r="F229" s="82">
        <v>0</v>
      </c>
      <c r="G229"/>
    </row>
    <row r="230" spans="3:7" s="1" customFormat="1" x14ac:dyDescent="0.3">
      <c r="C230" s="82">
        <v>1</v>
      </c>
      <c r="D230" s="82">
        <v>0</v>
      </c>
      <c r="E230" s="82">
        <v>0</v>
      </c>
      <c r="F230" s="82">
        <v>0</v>
      </c>
      <c r="G230"/>
    </row>
    <row r="231" spans="3:7" s="1" customFormat="1" x14ac:dyDescent="0.3">
      <c r="C231" s="82">
        <v>1</v>
      </c>
      <c r="D231" s="82">
        <v>0</v>
      </c>
      <c r="E231" s="82">
        <v>0</v>
      </c>
      <c r="F231" s="82">
        <v>0</v>
      </c>
      <c r="G231"/>
    </row>
    <row r="232" spans="3:7" s="1" customFormat="1" x14ac:dyDescent="0.3">
      <c r="C232" s="82">
        <v>1</v>
      </c>
      <c r="D232" s="82">
        <v>0</v>
      </c>
      <c r="E232" s="82">
        <v>0</v>
      </c>
      <c r="F232" s="82">
        <v>0</v>
      </c>
      <c r="G232"/>
    </row>
    <row r="233" spans="3:7" s="1" customFormat="1" x14ac:dyDescent="0.3">
      <c r="C233" s="82">
        <v>1</v>
      </c>
      <c r="D233" s="82">
        <v>1</v>
      </c>
      <c r="E233" s="82">
        <v>1</v>
      </c>
      <c r="F233" s="82">
        <v>0</v>
      </c>
      <c r="G233"/>
    </row>
    <row r="234" spans="3:7" s="1" customFormat="1" x14ac:dyDescent="0.3">
      <c r="C234" s="82">
        <v>1</v>
      </c>
      <c r="D234" s="82">
        <v>1</v>
      </c>
      <c r="E234" s="82">
        <v>1</v>
      </c>
      <c r="F234" s="82">
        <v>0</v>
      </c>
      <c r="G234"/>
    </row>
    <row r="235" spans="3:7" s="1" customFormat="1" x14ac:dyDescent="0.3">
      <c r="C235" s="82">
        <v>1</v>
      </c>
      <c r="D235" s="82">
        <v>1</v>
      </c>
      <c r="E235" s="82">
        <v>1</v>
      </c>
      <c r="F235" s="82">
        <v>0</v>
      </c>
      <c r="G235"/>
    </row>
    <row r="236" spans="3:7" s="1" customFormat="1" x14ac:dyDescent="0.3">
      <c r="C236" s="82">
        <v>1</v>
      </c>
      <c r="D236" s="82">
        <v>1</v>
      </c>
      <c r="E236" s="82">
        <v>1</v>
      </c>
      <c r="F236" s="82">
        <v>0</v>
      </c>
      <c r="G236"/>
    </row>
    <row r="237" spans="3:7" s="1" customFormat="1" x14ac:dyDescent="0.3">
      <c r="C237" s="82">
        <v>1</v>
      </c>
      <c r="D237" s="82">
        <v>1</v>
      </c>
      <c r="E237" s="82">
        <v>0</v>
      </c>
      <c r="F237" s="82">
        <v>0</v>
      </c>
      <c r="G237"/>
    </row>
    <row r="238" spans="3:7" s="1" customFormat="1" x14ac:dyDescent="0.3">
      <c r="C238" s="82">
        <v>1</v>
      </c>
      <c r="D238" s="82">
        <v>1</v>
      </c>
      <c r="E238" s="82">
        <v>0</v>
      </c>
      <c r="F238" s="82">
        <v>0</v>
      </c>
      <c r="G238"/>
    </row>
    <row r="239" spans="3:7" s="1" customFormat="1" x14ac:dyDescent="0.3">
      <c r="C239" s="82">
        <v>1</v>
      </c>
      <c r="D239" s="82">
        <v>1</v>
      </c>
      <c r="E239" s="82">
        <v>1</v>
      </c>
      <c r="F239" s="82">
        <v>0</v>
      </c>
      <c r="G239"/>
    </row>
    <row r="240" spans="3:7" s="1" customFormat="1" x14ac:dyDescent="0.3">
      <c r="C240" s="82">
        <v>1</v>
      </c>
      <c r="D240" s="82">
        <v>1</v>
      </c>
      <c r="E240" s="82">
        <v>1</v>
      </c>
      <c r="F240" s="82">
        <v>0</v>
      </c>
      <c r="G240"/>
    </row>
    <row r="241" spans="3:7" s="1" customFormat="1" x14ac:dyDescent="0.3">
      <c r="C241" s="82">
        <v>1</v>
      </c>
      <c r="D241" s="82">
        <v>1</v>
      </c>
      <c r="E241" s="82">
        <v>1</v>
      </c>
      <c r="F241" s="82">
        <v>0</v>
      </c>
      <c r="G241"/>
    </row>
    <row r="242" spans="3:7" s="1" customFormat="1" x14ac:dyDescent="0.3">
      <c r="C242" s="82">
        <v>1</v>
      </c>
      <c r="D242" s="82">
        <v>1</v>
      </c>
      <c r="E242" s="82">
        <v>1</v>
      </c>
      <c r="F242" s="82">
        <v>0</v>
      </c>
      <c r="G242"/>
    </row>
    <row r="243" spans="3:7" s="1" customFormat="1" x14ac:dyDescent="0.3">
      <c r="C243"/>
      <c r="D243"/>
      <c r="E243"/>
      <c r="F243"/>
      <c r="G243"/>
    </row>
    <row r="244" spans="3:7" s="1" customFormat="1" x14ac:dyDescent="0.3">
      <c r="C244"/>
      <c r="D244"/>
      <c r="E244"/>
      <c r="F244"/>
      <c r="G244"/>
    </row>
    <row r="245" spans="3:7" s="1" customFormat="1" x14ac:dyDescent="0.3">
      <c r="C245"/>
      <c r="D245"/>
      <c r="E245"/>
      <c r="F245"/>
      <c r="G245"/>
    </row>
    <row r="246" spans="3:7" s="1" customFormat="1" x14ac:dyDescent="0.3">
      <c r="C246"/>
      <c r="D246"/>
      <c r="E246"/>
      <c r="F246"/>
      <c r="G246"/>
    </row>
    <row r="247" spans="3:7" s="1" customFormat="1" x14ac:dyDescent="0.3">
      <c r="C247"/>
      <c r="D247"/>
      <c r="E247"/>
      <c r="F247"/>
      <c r="G247"/>
    </row>
    <row r="248" spans="3:7" s="1" customFormat="1" x14ac:dyDescent="0.3">
      <c r="C248"/>
      <c r="D248"/>
      <c r="E248"/>
      <c r="F248"/>
      <c r="G248"/>
    </row>
    <row r="249" spans="3:7" s="1" customFormat="1" x14ac:dyDescent="0.3">
      <c r="C249"/>
      <c r="D249"/>
      <c r="E249"/>
      <c r="F249"/>
      <c r="G249"/>
    </row>
    <row r="250" spans="3:7" s="1" customFormat="1" x14ac:dyDescent="0.3">
      <c r="C250"/>
      <c r="D250"/>
      <c r="E250"/>
      <c r="F250"/>
      <c r="G250"/>
    </row>
    <row r="251" spans="3:7" s="1" customFormat="1" x14ac:dyDescent="0.3">
      <c r="C251"/>
      <c r="D251"/>
      <c r="E251"/>
      <c r="F251"/>
      <c r="G251"/>
    </row>
    <row r="252" spans="3:7" s="1" customFormat="1" x14ac:dyDescent="0.3">
      <c r="C252"/>
      <c r="D252"/>
      <c r="E252"/>
      <c r="F252"/>
      <c r="G252"/>
    </row>
    <row r="253" spans="3:7" s="1" customFormat="1" x14ac:dyDescent="0.3">
      <c r="C253"/>
      <c r="D253"/>
      <c r="E253"/>
      <c r="F253"/>
      <c r="G253"/>
    </row>
    <row r="254" spans="3:7" s="1" customFormat="1" x14ac:dyDescent="0.3">
      <c r="C254"/>
      <c r="D254"/>
      <c r="E254"/>
      <c r="F254"/>
      <c r="G254"/>
    </row>
    <row r="255" spans="3:7" s="1" customFormat="1" x14ac:dyDescent="0.3">
      <c r="C255"/>
      <c r="D255"/>
      <c r="E255"/>
      <c r="F255"/>
      <c r="G255"/>
    </row>
    <row r="256" spans="3:7" s="1" customFormat="1" x14ac:dyDescent="0.3">
      <c r="C256"/>
      <c r="D256"/>
      <c r="E256"/>
      <c r="F256"/>
      <c r="G256"/>
    </row>
    <row r="257" spans="3:7" s="1" customFormat="1" x14ac:dyDescent="0.3">
      <c r="C257"/>
      <c r="D257"/>
      <c r="E257"/>
      <c r="F257"/>
      <c r="G257"/>
    </row>
    <row r="258" spans="3:7" s="1" customFormat="1" x14ac:dyDescent="0.3">
      <c r="C258"/>
      <c r="D258"/>
      <c r="E258"/>
      <c r="F258"/>
      <c r="G258"/>
    </row>
    <row r="259" spans="3:7" s="1" customFormat="1" x14ac:dyDescent="0.3">
      <c r="C259"/>
      <c r="D259"/>
      <c r="E259"/>
      <c r="F259"/>
      <c r="G259"/>
    </row>
    <row r="260" spans="3:7" s="1" customFormat="1" x14ac:dyDescent="0.3">
      <c r="C260"/>
      <c r="D260"/>
      <c r="E260"/>
      <c r="F260"/>
      <c r="G260"/>
    </row>
    <row r="261" spans="3:7" s="1" customFormat="1" x14ac:dyDescent="0.3">
      <c r="C261"/>
      <c r="D261"/>
      <c r="E261"/>
      <c r="F261"/>
      <c r="G261"/>
    </row>
    <row r="262" spans="3:7" s="1" customFormat="1" x14ac:dyDescent="0.3">
      <c r="C262"/>
      <c r="D262"/>
      <c r="E262"/>
      <c r="F262"/>
      <c r="G262"/>
    </row>
    <row r="263" spans="3:7" s="1" customFormat="1" x14ac:dyDescent="0.3">
      <c r="C263"/>
      <c r="D263"/>
      <c r="E263"/>
      <c r="F263"/>
      <c r="G263"/>
    </row>
    <row r="264" spans="3:7" s="1" customFormat="1" x14ac:dyDescent="0.3">
      <c r="C264"/>
      <c r="D264"/>
      <c r="E264"/>
      <c r="F264"/>
      <c r="G264"/>
    </row>
    <row r="265" spans="3:7" s="1" customFormat="1" x14ac:dyDescent="0.3">
      <c r="C265"/>
      <c r="D265"/>
      <c r="E265"/>
      <c r="F265"/>
      <c r="G265"/>
    </row>
    <row r="266" spans="3:7" s="1" customFormat="1" x14ac:dyDescent="0.3">
      <c r="C266"/>
      <c r="D266"/>
      <c r="E266"/>
      <c r="F266"/>
      <c r="G266"/>
    </row>
    <row r="267" spans="3:7" s="1" customFormat="1" x14ac:dyDescent="0.3">
      <c r="C267"/>
      <c r="D267"/>
      <c r="E267"/>
      <c r="F267"/>
      <c r="G267"/>
    </row>
    <row r="268" spans="3:7" s="1" customFormat="1" x14ac:dyDescent="0.3">
      <c r="C268"/>
      <c r="D268"/>
      <c r="E268"/>
      <c r="F268"/>
      <c r="G268"/>
    </row>
    <row r="269" spans="3:7" s="1" customFormat="1" x14ac:dyDescent="0.3">
      <c r="C269"/>
      <c r="D269"/>
      <c r="E269"/>
      <c r="F269"/>
      <c r="G269"/>
    </row>
    <row r="270" spans="3:7" s="1" customFormat="1" x14ac:dyDescent="0.3">
      <c r="C270"/>
      <c r="D270"/>
      <c r="E270"/>
      <c r="F270"/>
      <c r="G270"/>
    </row>
    <row r="271" spans="3:7" s="1" customFormat="1" x14ac:dyDescent="0.3">
      <c r="C271"/>
      <c r="D271"/>
      <c r="E271"/>
      <c r="F271"/>
      <c r="G271"/>
    </row>
    <row r="272" spans="3:7" s="1" customFormat="1" x14ac:dyDescent="0.3">
      <c r="C272"/>
      <c r="D272"/>
      <c r="E272"/>
      <c r="F272"/>
      <c r="G272"/>
    </row>
    <row r="273" spans="3:7" s="1" customFormat="1" x14ac:dyDescent="0.3">
      <c r="C273"/>
      <c r="D273"/>
      <c r="E273"/>
      <c r="F273"/>
      <c r="G273"/>
    </row>
    <row r="274" spans="3:7" s="1" customFormat="1" x14ac:dyDescent="0.3">
      <c r="C274"/>
      <c r="D274"/>
      <c r="E274"/>
      <c r="F274"/>
      <c r="G274"/>
    </row>
    <row r="275" spans="3:7" s="1" customFormat="1" x14ac:dyDescent="0.3">
      <c r="C275"/>
      <c r="D275"/>
      <c r="E275"/>
      <c r="F275"/>
      <c r="G275"/>
    </row>
    <row r="276" spans="3:7" s="1" customFormat="1" x14ac:dyDescent="0.3">
      <c r="C276"/>
      <c r="D276"/>
      <c r="E276"/>
      <c r="F276"/>
      <c r="G276"/>
    </row>
    <row r="277" spans="3:7" s="1" customFormat="1" x14ac:dyDescent="0.3">
      <c r="C277"/>
      <c r="D277"/>
      <c r="E277"/>
      <c r="F277"/>
      <c r="G277"/>
    </row>
    <row r="278" spans="3:7" s="1" customFormat="1" x14ac:dyDescent="0.3">
      <c r="C278"/>
      <c r="D278"/>
      <c r="E278"/>
      <c r="F278"/>
      <c r="G278"/>
    </row>
    <row r="279" spans="3:7" s="1" customFormat="1" x14ac:dyDescent="0.3">
      <c r="C279"/>
      <c r="D279"/>
      <c r="E279"/>
      <c r="F279"/>
      <c r="G279"/>
    </row>
    <row r="280" spans="3:7" s="1" customFormat="1" x14ac:dyDescent="0.3">
      <c r="C280"/>
      <c r="D280"/>
      <c r="E280"/>
      <c r="F280"/>
      <c r="G280"/>
    </row>
    <row r="281" spans="3:7" s="1" customFormat="1" x14ac:dyDescent="0.3">
      <c r="C281"/>
      <c r="D281"/>
      <c r="E281"/>
      <c r="F281"/>
      <c r="G281"/>
    </row>
    <row r="282" spans="3:7" s="1" customFormat="1" x14ac:dyDescent="0.3">
      <c r="C282"/>
      <c r="D282"/>
      <c r="E282"/>
      <c r="F282"/>
      <c r="G282"/>
    </row>
    <row r="283" spans="3:7" s="1" customFormat="1" x14ac:dyDescent="0.3">
      <c r="C283"/>
      <c r="D283"/>
      <c r="E283"/>
      <c r="F283"/>
      <c r="G283"/>
    </row>
    <row r="284" spans="3:7" s="1" customFormat="1" x14ac:dyDescent="0.3">
      <c r="C284"/>
      <c r="D284"/>
      <c r="E284"/>
      <c r="F284"/>
      <c r="G284"/>
    </row>
    <row r="285" spans="3:7" s="1" customFormat="1" x14ac:dyDescent="0.3">
      <c r="C285"/>
      <c r="D285"/>
      <c r="E285"/>
      <c r="F285"/>
      <c r="G285"/>
    </row>
    <row r="286" spans="3:7" s="1" customFormat="1" x14ac:dyDescent="0.3">
      <c r="C286"/>
      <c r="D286"/>
      <c r="E286"/>
      <c r="F286"/>
      <c r="G286"/>
    </row>
  </sheetData>
  <phoneticPr fontId="16" type="noConversion"/>
  <conditionalFormatting sqref="I8">
    <cfRule type="cellIs" dxfId="3" priority="1" operator="equal">
      <formula>0</formula>
    </cfRule>
  </conditionalFormatting>
  <conditionalFormatting sqref="C3:F170">
    <cfRule type="cellIs" dxfId="2" priority="4" operator="equal">
      <formula>0</formula>
    </cfRule>
  </conditionalFormatting>
  <conditionalFormatting sqref="C171:F242">
    <cfRule type="cellIs" dxfId="1" priority="3" operator="equal">
      <formula>0</formula>
    </cfRule>
  </conditionalFormatting>
  <conditionalFormatting sqref="I7">
    <cfRule type="cellIs" dxfId="0" priority="2" operator="equal">
      <formula>0</formula>
    </cfRule>
  </conditionalFormatting>
  <dataValidations count="1">
    <dataValidation type="list" allowBlank="1" showInputMessage="1" showErrorMessage="1" sqref="B2" xr:uid="{25806812-BD97-4A68-AFF1-E6617E6FD9DB}">
      <formula1>$G$2:$G$5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50DAD-2360-446C-8DD4-012EC36C88F2}">
  <sheetPr codeName="Sheet4"/>
  <dimension ref="A1:DW379"/>
  <sheetViews>
    <sheetView zoomScale="63" zoomScaleNormal="55" workbookViewId="0">
      <selection activeCell="N16" sqref="N16"/>
    </sheetView>
  </sheetViews>
  <sheetFormatPr defaultColWidth="11.5546875" defaultRowHeight="14.4" outlineLevelCol="1" x14ac:dyDescent="0.3"/>
  <cols>
    <col min="1" max="2" width="23.88671875" customWidth="1"/>
    <col min="3" max="3" width="21.5546875" customWidth="1"/>
    <col min="4" max="5" width="14.6640625" hidden="1" customWidth="1" outlineLevel="1"/>
    <col min="6" max="6" width="16" bestFit="1" customWidth="1" collapsed="1"/>
    <col min="7" max="7" width="13.6640625" bestFit="1" customWidth="1"/>
    <col min="8" max="8" width="13.6640625" hidden="1" customWidth="1" outlineLevel="1"/>
    <col min="9" max="9" width="0" style="1" hidden="1" customWidth="1" outlineLevel="1"/>
    <col min="10" max="10" width="11.5546875" style="1" collapsed="1"/>
    <col min="11" max="11" width="16.44140625" style="1" customWidth="1"/>
    <col min="12" max="15" width="11.5546875" style="1"/>
    <col min="16" max="16" width="33.6640625" style="1" customWidth="1"/>
    <col min="17" max="19" width="11.5546875" style="1"/>
    <col min="20" max="20" width="25.6640625" style="1" customWidth="1"/>
    <col min="21" max="127" width="11.5546875" style="1"/>
  </cols>
  <sheetData>
    <row r="1" spans="1:20" ht="33.6" customHeight="1" thickBot="1" x14ac:dyDescent="0.35">
      <c r="A1" s="30" t="s">
        <v>221</v>
      </c>
      <c r="B1" s="144" t="s">
        <v>215</v>
      </c>
      <c r="C1" s="145"/>
      <c r="D1" s="145"/>
      <c r="E1" s="145"/>
      <c r="F1" s="144" t="s">
        <v>216</v>
      </c>
      <c r="G1" s="145"/>
      <c r="H1" s="145"/>
      <c r="I1" s="146"/>
      <c r="J1" s="116"/>
      <c r="K1" s="28" t="s">
        <v>220</v>
      </c>
      <c r="L1" s="31">
        <v>56</v>
      </c>
    </row>
    <row r="2" spans="1:20" ht="15" thickBot="1" x14ac:dyDescent="0.35">
      <c r="A2" s="29" t="s">
        <v>39</v>
      </c>
      <c r="B2" s="117" t="s">
        <v>41</v>
      </c>
      <c r="C2" s="118" t="s">
        <v>42</v>
      </c>
      <c r="D2" s="118" t="s">
        <v>42</v>
      </c>
      <c r="E2" s="118" t="s">
        <v>43</v>
      </c>
      <c r="F2" s="69" t="s">
        <v>217</v>
      </c>
      <c r="G2" s="118" t="s">
        <v>218</v>
      </c>
      <c r="H2" s="118" t="s">
        <v>219</v>
      </c>
      <c r="I2" s="118" t="s">
        <v>266</v>
      </c>
      <c r="J2" s="76"/>
      <c r="Q2" s="68"/>
    </row>
    <row r="3" spans="1:20" x14ac:dyDescent="0.3">
      <c r="A3" s="119" t="s">
        <v>44</v>
      </c>
      <c r="B3" s="49">
        <f>F3*$L$1</f>
        <v>5.5999999999999993E-10</v>
      </c>
      <c r="C3" s="122">
        <f>IF(G3*$L$1=0,0.00000000001*$L$1,G3*$L$1)</f>
        <v>5.5999999999999993E-10</v>
      </c>
      <c r="D3" s="120">
        <f>H3*$L$1</f>
        <v>0</v>
      </c>
      <c r="E3" s="120">
        <f>I3*$L$1</f>
        <v>0</v>
      </c>
      <c r="F3" s="71">
        <v>9.9999999999999994E-12</v>
      </c>
      <c r="G3" s="77">
        <v>0</v>
      </c>
      <c r="H3" s="77"/>
      <c r="I3" s="70"/>
      <c r="J3" s="67"/>
      <c r="K3" s="147" t="s">
        <v>222</v>
      </c>
      <c r="L3" s="148"/>
      <c r="M3" s="148"/>
      <c r="N3" s="148"/>
      <c r="O3" s="148"/>
      <c r="P3" s="149"/>
      <c r="S3" s="29" t="s">
        <v>39</v>
      </c>
      <c r="T3" s="118" t="s">
        <v>42</v>
      </c>
    </row>
    <row r="4" spans="1:20" x14ac:dyDescent="0.3">
      <c r="A4" s="119" t="s">
        <v>48</v>
      </c>
      <c r="B4" s="49">
        <f t="shared" ref="B4:E67" si="0">F4*$L$1</f>
        <v>5.5999999999999993E-10</v>
      </c>
      <c r="C4" s="122">
        <f t="shared" ref="C4:C67" si="1">IF(G4*$L$1=0,0.00000000001*$L$1,G4*$L$1)</f>
        <v>5.5999999999999993E-10</v>
      </c>
      <c r="D4" s="120">
        <f t="shared" si="0"/>
        <v>0</v>
      </c>
      <c r="E4" s="120">
        <f t="shared" si="0"/>
        <v>0</v>
      </c>
      <c r="F4" s="71">
        <v>9.9999999999999994E-12</v>
      </c>
      <c r="G4" s="77">
        <v>0</v>
      </c>
      <c r="H4" s="77"/>
      <c r="I4" s="70"/>
      <c r="J4" s="67"/>
      <c r="K4" s="25" t="s">
        <v>217</v>
      </c>
      <c r="L4" s="150" t="s">
        <v>264</v>
      </c>
      <c r="M4" s="150"/>
      <c r="N4" s="150"/>
      <c r="O4" s="150"/>
      <c r="P4" s="151"/>
      <c r="S4" s="119" t="s">
        <v>44</v>
      </c>
      <c r="T4" s="122">
        <v>2.4999999999999996E-10</v>
      </c>
    </row>
    <row r="5" spans="1:20" x14ac:dyDescent="0.3">
      <c r="A5" s="119" t="s">
        <v>49</v>
      </c>
      <c r="B5" s="49">
        <f t="shared" si="0"/>
        <v>5.5999999999999993E-10</v>
      </c>
      <c r="C5" s="122">
        <f t="shared" si="1"/>
        <v>5.5999999999999993E-10</v>
      </c>
      <c r="D5" s="120">
        <f t="shared" si="0"/>
        <v>0</v>
      </c>
      <c r="E5" s="120">
        <f t="shared" si="0"/>
        <v>0</v>
      </c>
      <c r="F5" s="71">
        <v>9.9999999999999994E-12</v>
      </c>
      <c r="G5" s="77">
        <v>0</v>
      </c>
      <c r="H5" s="77"/>
      <c r="I5" s="70"/>
      <c r="J5" s="67"/>
      <c r="K5" s="25" t="s">
        <v>217</v>
      </c>
      <c r="L5" s="150" t="s">
        <v>325</v>
      </c>
      <c r="M5" s="150"/>
      <c r="N5" s="150"/>
      <c r="O5" s="150"/>
      <c r="P5" s="151"/>
      <c r="S5" s="119" t="s">
        <v>48</v>
      </c>
      <c r="T5" s="122">
        <v>2.4999999999999996E-10</v>
      </c>
    </row>
    <row r="6" spans="1:20" x14ac:dyDescent="0.3">
      <c r="A6" s="119" t="s">
        <v>50</v>
      </c>
      <c r="B6" s="49">
        <f t="shared" si="0"/>
        <v>5.5999999999999993E-10</v>
      </c>
      <c r="C6" s="122">
        <f t="shared" si="1"/>
        <v>5.5999999999999993E-10</v>
      </c>
      <c r="D6" s="120">
        <f t="shared" si="0"/>
        <v>0</v>
      </c>
      <c r="E6" s="120">
        <f t="shared" si="0"/>
        <v>0</v>
      </c>
      <c r="F6" s="71">
        <v>9.9999999999999994E-12</v>
      </c>
      <c r="G6" s="77">
        <v>0</v>
      </c>
      <c r="H6" s="77"/>
      <c r="I6" s="70"/>
      <c r="J6" s="67"/>
      <c r="K6" s="25" t="s">
        <v>219</v>
      </c>
      <c r="L6" s="150"/>
      <c r="M6" s="150"/>
      <c r="N6" s="150"/>
      <c r="O6" s="150"/>
      <c r="P6" s="151"/>
      <c r="S6" s="119" t="s">
        <v>49</v>
      </c>
      <c r="T6" s="122">
        <v>2.4999999999999996E-10</v>
      </c>
    </row>
    <row r="7" spans="1:20" ht="15" thickBot="1" x14ac:dyDescent="0.35">
      <c r="A7" s="119" t="s">
        <v>51</v>
      </c>
      <c r="B7" s="49">
        <f t="shared" si="0"/>
        <v>5.5999999999999993E-10</v>
      </c>
      <c r="C7" s="122">
        <f t="shared" si="1"/>
        <v>5.5999999999999993E-10</v>
      </c>
      <c r="D7" s="120">
        <f t="shared" si="0"/>
        <v>0</v>
      </c>
      <c r="E7" s="120">
        <f t="shared" si="0"/>
        <v>0</v>
      </c>
      <c r="F7" s="71">
        <v>9.9999999999999994E-12</v>
      </c>
      <c r="G7" s="77">
        <v>0</v>
      </c>
      <c r="H7" s="77"/>
      <c r="I7" s="70"/>
      <c r="J7" s="67"/>
      <c r="K7" s="32" t="s">
        <v>266</v>
      </c>
      <c r="L7" s="141"/>
      <c r="M7" s="141"/>
      <c r="N7" s="141"/>
      <c r="O7" s="141"/>
      <c r="P7" s="142"/>
      <c r="S7" s="119" t="s">
        <v>50</v>
      </c>
      <c r="T7" s="122">
        <v>2.4999999999999996E-10</v>
      </c>
    </row>
    <row r="8" spans="1:20" x14ac:dyDescent="0.3">
      <c r="A8" s="119" t="s">
        <v>52</v>
      </c>
      <c r="B8" s="49">
        <f t="shared" si="0"/>
        <v>5.5999999999999993E-10</v>
      </c>
      <c r="C8" s="122">
        <f t="shared" si="1"/>
        <v>5.5999999999999993E-10</v>
      </c>
      <c r="D8" s="120">
        <f t="shared" si="0"/>
        <v>0</v>
      </c>
      <c r="E8" s="120">
        <f t="shared" si="0"/>
        <v>0</v>
      </c>
      <c r="F8" s="71">
        <v>9.9999999999999994E-12</v>
      </c>
      <c r="G8" s="77">
        <v>0</v>
      </c>
      <c r="H8" s="77"/>
      <c r="I8" s="70"/>
      <c r="J8" s="67"/>
      <c r="K8" s="121"/>
      <c r="L8" s="143"/>
      <c r="M8" s="143"/>
      <c r="N8" s="143"/>
      <c r="O8" s="143"/>
      <c r="P8" s="143"/>
      <c r="S8" s="119" t="s">
        <v>51</v>
      </c>
      <c r="T8" s="122">
        <v>2.4999999999999996E-10</v>
      </c>
    </row>
    <row r="9" spans="1:20" x14ac:dyDescent="0.3">
      <c r="A9" s="119" t="s">
        <v>53</v>
      </c>
      <c r="B9" s="49">
        <f t="shared" si="0"/>
        <v>5.5999999999999993E-10</v>
      </c>
      <c r="C9" s="122">
        <f t="shared" si="1"/>
        <v>5.5999999999999993E-10</v>
      </c>
      <c r="D9" s="120">
        <f t="shared" si="0"/>
        <v>0</v>
      </c>
      <c r="E9" s="120">
        <f t="shared" si="0"/>
        <v>0</v>
      </c>
      <c r="F9" s="71">
        <v>9.9999999999999994E-12</v>
      </c>
      <c r="G9" s="77">
        <v>0</v>
      </c>
      <c r="H9" s="77"/>
      <c r="I9" s="70"/>
      <c r="J9" s="67"/>
      <c r="S9" s="119" t="s">
        <v>52</v>
      </c>
      <c r="T9" s="122">
        <v>2.4999999999999996E-10</v>
      </c>
    </row>
    <row r="10" spans="1:20" x14ac:dyDescent="0.3">
      <c r="A10" s="119" t="s">
        <v>54</v>
      </c>
      <c r="B10" s="49">
        <f t="shared" si="0"/>
        <v>2.3271111111111114</v>
      </c>
      <c r="C10" s="122">
        <f t="shared" si="1"/>
        <v>5.6000000000000005</v>
      </c>
      <c r="D10" s="120">
        <f t="shared" si="0"/>
        <v>0</v>
      </c>
      <c r="E10" s="120">
        <f t="shared" si="0"/>
        <v>0</v>
      </c>
      <c r="F10" s="71">
        <v>4.1555555555555561E-2</v>
      </c>
      <c r="G10" s="77">
        <v>0.1</v>
      </c>
      <c r="H10" s="77"/>
      <c r="I10" s="70"/>
      <c r="J10" s="67"/>
      <c r="S10" s="119" t="s">
        <v>53</v>
      </c>
      <c r="T10" s="122">
        <v>2.4999999999999996E-10</v>
      </c>
    </row>
    <row r="11" spans="1:20" x14ac:dyDescent="0.3">
      <c r="A11" s="119" t="s">
        <v>55</v>
      </c>
      <c r="B11" s="49">
        <f t="shared" si="0"/>
        <v>4.5546666666666669</v>
      </c>
      <c r="C11" s="122">
        <f t="shared" si="1"/>
        <v>12.32</v>
      </c>
      <c r="D11" s="120">
        <f t="shared" si="0"/>
        <v>0</v>
      </c>
      <c r="E11" s="120">
        <f t="shared" si="0"/>
        <v>0</v>
      </c>
      <c r="F11" s="71">
        <v>8.1333333333333341E-2</v>
      </c>
      <c r="G11" s="77">
        <v>0.22</v>
      </c>
      <c r="H11" s="77"/>
      <c r="I11" s="70"/>
      <c r="J11" s="67"/>
      <c r="S11" s="119" t="s">
        <v>54</v>
      </c>
      <c r="T11" s="122">
        <v>2.5</v>
      </c>
    </row>
    <row r="12" spans="1:20" x14ac:dyDescent="0.3">
      <c r="A12" s="119" t="s">
        <v>56</v>
      </c>
      <c r="B12" s="49">
        <f t="shared" si="0"/>
        <v>4.9777777777777779</v>
      </c>
      <c r="C12" s="122">
        <f t="shared" si="1"/>
        <v>24.64</v>
      </c>
      <c r="D12" s="120">
        <f t="shared" si="0"/>
        <v>0</v>
      </c>
      <c r="E12" s="120">
        <f t="shared" si="0"/>
        <v>0</v>
      </c>
      <c r="F12" s="71">
        <v>8.8888888888888892E-2</v>
      </c>
      <c r="G12" s="77">
        <v>0.44</v>
      </c>
      <c r="H12" s="77"/>
      <c r="I12" s="70"/>
      <c r="J12" s="67"/>
      <c r="S12" s="119" t="s">
        <v>55</v>
      </c>
      <c r="T12" s="122">
        <v>5.5</v>
      </c>
    </row>
    <row r="13" spans="1:20" x14ac:dyDescent="0.3">
      <c r="A13" s="119" t="s">
        <v>57</v>
      </c>
      <c r="B13" s="49">
        <f t="shared" si="0"/>
        <v>6.7573333333333325</v>
      </c>
      <c r="C13" s="122">
        <f t="shared" si="1"/>
        <v>33.04</v>
      </c>
      <c r="D13" s="120">
        <f t="shared" si="0"/>
        <v>0</v>
      </c>
      <c r="E13" s="120">
        <f t="shared" si="0"/>
        <v>0</v>
      </c>
      <c r="F13" s="71">
        <v>0.12066666666666666</v>
      </c>
      <c r="G13" s="77">
        <v>0.59</v>
      </c>
      <c r="H13" s="77"/>
      <c r="I13" s="70"/>
      <c r="J13" s="67"/>
      <c r="S13" s="119" t="s">
        <v>56</v>
      </c>
      <c r="T13" s="122">
        <v>11</v>
      </c>
    </row>
    <row r="14" spans="1:20" x14ac:dyDescent="0.3">
      <c r="A14" s="119" t="s">
        <v>58</v>
      </c>
      <c r="B14" s="49">
        <f t="shared" si="0"/>
        <v>17.185777777777776</v>
      </c>
      <c r="C14" s="122">
        <f t="shared" si="1"/>
        <v>43.120000000000005</v>
      </c>
      <c r="D14" s="120">
        <f t="shared" si="0"/>
        <v>0</v>
      </c>
      <c r="E14" s="120">
        <f t="shared" si="0"/>
        <v>0</v>
      </c>
      <c r="F14" s="71">
        <v>0.30688888888888888</v>
      </c>
      <c r="G14" s="77">
        <v>0.77</v>
      </c>
      <c r="H14" s="77"/>
      <c r="I14" s="70"/>
      <c r="J14" s="67"/>
      <c r="S14" s="119" t="s">
        <v>57</v>
      </c>
      <c r="T14" s="122">
        <v>14.75</v>
      </c>
    </row>
    <row r="15" spans="1:20" x14ac:dyDescent="0.3">
      <c r="A15" s="119" t="s">
        <v>59</v>
      </c>
      <c r="B15" s="49">
        <f t="shared" si="0"/>
        <v>15.406222222222224</v>
      </c>
      <c r="C15" s="122">
        <f t="shared" si="1"/>
        <v>52.64</v>
      </c>
      <c r="D15" s="120">
        <f t="shared" si="0"/>
        <v>0</v>
      </c>
      <c r="E15" s="120">
        <f t="shared" si="0"/>
        <v>0</v>
      </c>
      <c r="F15" s="71">
        <v>0.27511111111111114</v>
      </c>
      <c r="G15" s="77">
        <v>0.94</v>
      </c>
      <c r="H15" s="77"/>
      <c r="I15" s="70"/>
      <c r="J15" s="67"/>
      <c r="S15" s="119" t="s">
        <v>58</v>
      </c>
      <c r="T15" s="122">
        <v>19.25</v>
      </c>
    </row>
    <row r="16" spans="1:20" x14ac:dyDescent="0.3">
      <c r="A16" s="119" t="s">
        <v>60</v>
      </c>
      <c r="B16" s="49">
        <f t="shared" si="0"/>
        <v>21.466666666666669</v>
      </c>
      <c r="C16" s="122">
        <f t="shared" si="1"/>
        <v>53.76</v>
      </c>
      <c r="D16" s="120">
        <f t="shared" si="0"/>
        <v>0</v>
      </c>
      <c r="E16" s="120">
        <f t="shared" si="0"/>
        <v>0</v>
      </c>
      <c r="F16" s="71">
        <v>0.38333333333333336</v>
      </c>
      <c r="G16" s="77">
        <v>0.96</v>
      </c>
      <c r="H16" s="77"/>
      <c r="I16" s="70"/>
      <c r="J16" s="67"/>
      <c r="S16" s="119" t="s">
        <v>59</v>
      </c>
      <c r="T16" s="122">
        <v>23.5</v>
      </c>
    </row>
    <row r="17" spans="1:20" x14ac:dyDescent="0.3">
      <c r="A17" s="119" t="s">
        <v>61</v>
      </c>
      <c r="B17" s="49">
        <f t="shared" si="0"/>
        <v>19.537777777777777</v>
      </c>
      <c r="C17" s="122">
        <f t="shared" si="1"/>
        <v>47.6</v>
      </c>
      <c r="D17" s="120">
        <f t="shared" si="0"/>
        <v>0</v>
      </c>
      <c r="E17" s="120">
        <f t="shared" si="0"/>
        <v>0</v>
      </c>
      <c r="F17" s="71">
        <v>0.34888888888888886</v>
      </c>
      <c r="G17" s="77">
        <v>0.85</v>
      </c>
      <c r="H17" s="77"/>
      <c r="I17" s="70"/>
      <c r="J17" s="67"/>
      <c r="S17" s="119" t="s">
        <v>60</v>
      </c>
      <c r="T17" s="122">
        <v>24</v>
      </c>
    </row>
    <row r="18" spans="1:20" x14ac:dyDescent="0.3">
      <c r="A18" s="119" t="s">
        <v>62</v>
      </c>
      <c r="B18" s="49">
        <f t="shared" si="0"/>
        <v>11.971555555555554</v>
      </c>
      <c r="C18" s="122">
        <f t="shared" si="1"/>
        <v>42</v>
      </c>
      <c r="D18" s="120">
        <f t="shared" si="0"/>
        <v>0</v>
      </c>
      <c r="E18" s="120">
        <f t="shared" si="0"/>
        <v>0</v>
      </c>
      <c r="F18" s="71">
        <v>0.21377777777777776</v>
      </c>
      <c r="G18" s="77">
        <v>0.75</v>
      </c>
      <c r="H18" s="77"/>
      <c r="I18" s="70"/>
      <c r="J18" s="67"/>
      <c r="K18" s="50"/>
      <c r="S18" s="119" t="s">
        <v>61</v>
      </c>
      <c r="T18" s="122">
        <v>21.25</v>
      </c>
    </row>
    <row r="19" spans="1:20" x14ac:dyDescent="0.3">
      <c r="A19" s="119" t="s">
        <v>63</v>
      </c>
      <c r="B19" s="49">
        <f t="shared" si="0"/>
        <v>12.344888888888889</v>
      </c>
      <c r="C19" s="122">
        <f t="shared" si="1"/>
        <v>32.479999999999997</v>
      </c>
      <c r="D19" s="120">
        <f t="shared" si="0"/>
        <v>0</v>
      </c>
      <c r="E19" s="120">
        <f t="shared" si="0"/>
        <v>0</v>
      </c>
      <c r="F19" s="71">
        <v>0.22044444444444444</v>
      </c>
      <c r="G19" s="77">
        <v>0.57999999999999996</v>
      </c>
      <c r="H19" s="77"/>
      <c r="I19" s="70"/>
      <c r="J19" s="67"/>
      <c r="S19" s="119" t="s">
        <v>62</v>
      </c>
      <c r="T19" s="122">
        <v>18.75</v>
      </c>
    </row>
    <row r="20" spans="1:20" x14ac:dyDescent="0.3">
      <c r="A20" s="119" t="s">
        <v>64</v>
      </c>
      <c r="B20" s="49">
        <f t="shared" si="0"/>
        <v>4.9404444444444451</v>
      </c>
      <c r="C20" s="122">
        <f t="shared" si="1"/>
        <v>19.040000000000003</v>
      </c>
      <c r="D20" s="120">
        <f t="shared" si="0"/>
        <v>0</v>
      </c>
      <c r="E20" s="120">
        <f t="shared" si="0"/>
        <v>0</v>
      </c>
      <c r="F20" s="71">
        <v>8.822222222222223E-2</v>
      </c>
      <c r="G20" s="77">
        <v>0.34</v>
      </c>
      <c r="H20" s="77"/>
      <c r="I20" s="70"/>
      <c r="J20" s="67"/>
      <c r="S20" s="119" t="s">
        <v>63</v>
      </c>
      <c r="T20" s="122">
        <v>14.499999999999998</v>
      </c>
    </row>
    <row r="21" spans="1:20" x14ac:dyDescent="0.3">
      <c r="A21" s="119" t="s">
        <v>65</v>
      </c>
      <c r="B21" s="49">
        <f t="shared" si="0"/>
        <v>2.5635555555555554</v>
      </c>
      <c r="C21" s="122">
        <f t="shared" si="1"/>
        <v>8.4</v>
      </c>
      <c r="D21" s="120">
        <f t="shared" si="0"/>
        <v>0</v>
      </c>
      <c r="E21" s="120">
        <f t="shared" si="0"/>
        <v>0</v>
      </c>
      <c r="F21" s="71">
        <v>4.5777777777777778E-2</v>
      </c>
      <c r="G21" s="77">
        <v>0.15</v>
      </c>
      <c r="H21" s="77"/>
      <c r="I21" s="70"/>
      <c r="J21" s="67"/>
      <c r="S21" s="119" t="s">
        <v>64</v>
      </c>
      <c r="T21" s="122">
        <v>8.5</v>
      </c>
    </row>
    <row r="22" spans="1:20" x14ac:dyDescent="0.3">
      <c r="A22" s="119" t="s">
        <v>66</v>
      </c>
      <c r="B22" s="49">
        <f t="shared" si="0"/>
        <v>5.5999999999999993E-10</v>
      </c>
      <c r="C22" s="122">
        <f t="shared" si="1"/>
        <v>5.5999999999999993E-10</v>
      </c>
      <c r="D22" s="120">
        <f t="shared" si="0"/>
        <v>0</v>
      </c>
      <c r="E22" s="120">
        <f t="shared" si="0"/>
        <v>0</v>
      </c>
      <c r="F22" s="71">
        <v>9.9999999999999994E-12</v>
      </c>
      <c r="G22" s="77">
        <v>0</v>
      </c>
      <c r="H22" s="77"/>
      <c r="I22" s="70"/>
      <c r="J22" s="67"/>
      <c r="S22" s="119" t="s">
        <v>65</v>
      </c>
      <c r="T22" s="122">
        <v>3.75</v>
      </c>
    </row>
    <row r="23" spans="1:20" x14ac:dyDescent="0.3">
      <c r="A23" s="119" t="s">
        <v>67</v>
      </c>
      <c r="B23" s="49">
        <f t="shared" si="0"/>
        <v>5.5999999999999993E-10</v>
      </c>
      <c r="C23" s="122">
        <f t="shared" si="1"/>
        <v>5.5999999999999993E-10</v>
      </c>
      <c r="D23" s="120">
        <f t="shared" si="0"/>
        <v>0</v>
      </c>
      <c r="E23" s="120">
        <f t="shared" si="0"/>
        <v>0</v>
      </c>
      <c r="F23" s="71">
        <v>9.9999999999999994E-12</v>
      </c>
      <c r="G23" s="77">
        <v>0</v>
      </c>
      <c r="H23" s="77"/>
      <c r="I23" s="70"/>
      <c r="J23" s="67"/>
      <c r="S23" s="119" t="s">
        <v>66</v>
      </c>
      <c r="T23" s="122">
        <v>2.4999999999999996E-10</v>
      </c>
    </row>
    <row r="24" spans="1:20" x14ac:dyDescent="0.3">
      <c r="A24" s="119" t="s">
        <v>68</v>
      </c>
      <c r="B24" s="49">
        <f t="shared" si="0"/>
        <v>5.5999999999999993E-10</v>
      </c>
      <c r="C24" s="122">
        <f t="shared" si="1"/>
        <v>5.5999999999999993E-10</v>
      </c>
      <c r="D24" s="120">
        <f t="shared" si="0"/>
        <v>0</v>
      </c>
      <c r="E24" s="120">
        <f t="shared" si="0"/>
        <v>0</v>
      </c>
      <c r="F24" s="71">
        <v>9.9999999999999994E-12</v>
      </c>
      <c r="G24" s="77">
        <v>0</v>
      </c>
      <c r="H24" s="77"/>
      <c r="I24" s="70"/>
      <c r="J24" s="67"/>
      <c r="S24" s="119" t="s">
        <v>67</v>
      </c>
      <c r="T24" s="122">
        <v>2.4999999999999996E-10</v>
      </c>
    </row>
    <row r="25" spans="1:20" x14ac:dyDescent="0.3">
      <c r="A25" s="119" t="s">
        <v>69</v>
      </c>
      <c r="B25" s="49">
        <f t="shared" si="0"/>
        <v>5.5999999999999993E-10</v>
      </c>
      <c r="C25" s="122">
        <f t="shared" si="1"/>
        <v>5.5999999999999993E-10</v>
      </c>
      <c r="D25" s="120">
        <f t="shared" si="0"/>
        <v>0</v>
      </c>
      <c r="E25" s="120">
        <f t="shared" si="0"/>
        <v>0</v>
      </c>
      <c r="F25" s="71">
        <v>9.9999999999999994E-12</v>
      </c>
      <c r="G25" s="77">
        <v>0</v>
      </c>
      <c r="H25" s="77"/>
      <c r="I25" s="70"/>
      <c r="J25" s="67"/>
      <c r="S25" s="119" t="s">
        <v>68</v>
      </c>
      <c r="T25" s="122">
        <v>2.4999999999999996E-10</v>
      </c>
    </row>
    <row r="26" spans="1:20" x14ac:dyDescent="0.3">
      <c r="A26" s="119" t="s">
        <v>70</v>
      </c>
      <c r="B26" s="49">
        <f t="shared" si="0"/>
        <v>5.5999999999999993E-10</v>
      </c>
      <c r="C26" s="122">
        <f t="shared" si="1"/>
        <v>5.5999999999999993E-10</v>
      </c>
      <c r="D26" s="120">
        <f t="shared" si="0"/>
        <v>0</v>
      </c>
      <c r="E26" s="120">
        <f t="shared" si="0"/>
        <v>0</v>
      </c>
      <c r="F26" s="71">
        <v>9.9999999999999994E-12</v>
      </c>
      <c r="G26" s="77">
        <v>0</v>
      </c>
      <c r="H26" s="77"/>
      <c r="I26" s="70"/>
      <c r="J26" s="67"/>
      <c r="S26" s="119" t="s">
        <v>69</v>
      </c>
      <c r="T26" s="122">
        <v>2.4999999999999996E-10</v>
      </c>
    </row>
    <row r="27" spans="1:20" x14ac:dyDescent="0.3">
      <c r="A27" s="119" t="s">
        <v>71</v>
      </c>
      <c r="B27" s="49">
        <f t="shared" si="0"/>
        <v>5.5999999999999993E-10</v>
      </c>
      <c r="C27" s="122">
        <f t="shared" si="1"/>
        <v>5.5999999999999993E-10</v>
      </c>
      <c r="D27" s="120">
        <f t="shared" si="0"/>
        <v>0</v>
      </c>
      <c r="E27" s="120">
        <f t="shared" si="0"/>
        <v>0</v>
      </c>
      <c r="F27" s="71">
        <v>9.9999999999999994E-12</v>
      </c>
      <c r="G27" s="77">
        <v>0</v>
      </c>
      <c r="H27" s="77"/>
      <c r="I27" s="70"/>
      <c r="J27" s="67"/>
      <c r="S27" s="119" t="s">
        <v>70</v>
      </c>
      <c r="T27" s="122">
        <v>2.4999999999999996E-10</v>
      </c>
    </row>
    <row r="28" spans="1:20" x14ac:dyDescent="0.3">
      <c r="A28" s="119" t="s">
        <v>72</v>
      </c>
      <c r="B28" s="49">
        <f t="shared" si="0"/>
        <v>5.5999999999999993E-10</v>
      </c>
      <c r="C28" s="122">
        <f t="shared" si="1"/>
        <v>5.5999999999999993E-10</v>
      </c>
      <c r="D28" s="120">
        <f t="shared" si="0"/>
        <v>0</v>
      </c>
      <c r="E28" s="120">
        <f t="shared" si="0"/>
        <v>0</v>
      </c>
      <c r="F28" s="71">
        <v>9.9999999999999994E-12</v>
      </c>
      <c r="G28" s="77">
        <v>0</v>
      </c>
      <c r="H28" s="77"/>
      <c r="I28" s="70"/>
      <c r="J28" s="67"/>
      <c r="S28" s="119" t="s">
        <v>71</v>
      </c>
      <c r="T28" s="122">
        <v>2.4999999999999996E-10</v>
      </c>
    </row>
    <row r="29" spans="1:20" x14ac:dyDescent="0.3">
      <c r="A29" s="119" t="s">
        <v>73</v>
      </c>
      <c r="B29" s="49">
        <f t="shared" si="0"/>
        <v>5.5999999999999993E-10</v>
      </c>
      <c r="C29" s="122">
        <f t="shared" si="1"/>
        <v>5.5999999999999993E-10</v>
      </c>
      <c r="D29" s="120">
        <f t="shared" si="0"/>
        <v>0</v>
      </c>
      <c r="E29" s="120">
        <f t="shared" si="0"/>
        <v>0</v>
      </c>
      <c r="F29" s="71">
        <v>9.9999999999999994E-12</v>
      </c>
      <c r="G29" s="77">
        <v>0</v>
      </c>
      <c r="H29" s="77"/>
      <c r="I29" s="70"/>
      <c r="J29" s="67"/>
      <c r="S29" s="119" t="s">
        <v>72</v>
      </c>
      <c r="T29" s="122">
        <v>2.4999999999999996E-10</v>
      </c>
    </row>
    <row r="30" spans="1:20" x14ac:dyDescent="0.3">
      <c r="A30" s="119" t="s">
        <v>74</v>
      </c>
      <c r="B30" s="49">
        <f t="shared" si="0"/>
        <v>5.5999999999999993E-10</v>
      </c>
      <c r="C30" s="122">
        <f t="shared" si="1"/>
        <v>5.5999999999999993E-10</v>
      </c>
      <c r="D30" s="120">
        <f t="shared" si="0"/>
        <v>0</v>
      </c>
      <c r="E30" s="120">
        <f t="shared" si="0"/>
        <v>0</v>
      </c>
      <c r="F30" s="71">
        <v>9.9999999999999994E-12</v>
      </c>
      <c r="G30" s="77">
        <v>0</v>
      </c>
      <c r="H30" s="77"/>
      <c r="I30" s="70"/>
      <c r="J30" s="67"/>
      <c r="S30" s="119" t="s">
        <v>73</v>
      </c>
      <c r="T30" s="122">
        <v>2.4999999999999996E-10</v>
      </c>
    </row>
    <row r="31" spans="1:20" x14ac:dyDescent="0.3">
      <c r="A31" s="119" t="s">
        <v>75</v>
      </c>
      <c r="B31" s="49">
        <f t="shared" si="0"/>
        <v>5.5999999999999993E-10</v>
      </c>
      <c r="C31" s="122">
        <f t="shared" si="1"/>
        <v>5.5999999999999993E-10</v>
      </c>
      <c r="D31" s="120">
        <f t="shared" si="0"/>
        <v>0</v>
      </c>
      <c r="E31" s="120">
        <f t="shared" si="0"/>
        <v>0</v>
      </c>
      <c r="F31" s="71">
        <v>9.9999999999999994E-12</v>
      </c>
      <c r="G31" s="77">
        <v>0</v>
      </c>
      <c r="H31" s="77"/>
      <c r="I31" s="70"/>
      <c r="J31" s="67"/>
      <c r="S31" s="119" t="s">
        <v>74</v>
      </c>
      <c r="T31" s="122">
        <v>2.4999999999999996E-10</v>
      </c>
    </row>
    <row r="32" spans="1:20" x14ac:dyDescent="0.3">
      <c r="A32" s="119" t="s">
        <v>76</v>
      </c>
      <c r="B32" s="49">
        <f t="shared" si="0"/>
        <v>5.5999999999999993E-10</v>
      </c>
      <c r="C32" s="122">
        <f t="shared" si="1"/>
        <v>5.5999999999999993E-10</v>
      </c>
      <c r="D32" s="120">
        <f t="shared" si="0"/>
        <v>0</v>
      </c>
      <c r="E32" s="120">
        <f t="shared" si="0"/>
        <v>0</v>
      </c>
      <c r="F32" s="71">
        <v>9.9999999999999994E-12</v>
      </c>
      <c r="G32" s="77">
        <v>0</v>
      </c>
      <c r="H32" s="77"/>
      <c r="I32" s="70"/>
      <c r="J32" s="67"/>
      <c r="S32" s="119" t="s">
        <v>75</v>
      </c>
      <c r="T32" s="122">
        <v>2.4999999999999996E-10</v>
      </c>
    </row>
    <row r="33" spans="1:20" x14ac:dyDescent="0.3">
      <c r="A33" s="119" t="s">
        <v>77</v>
      </c>
      <c r="B33" s="49">
        <f t="shared" si="0"/>
        <v>5.5999999999999993E-10</v>
      </c>
      <c r="C33" s="122">
        <f t="shared" si="1"/>
        <v>5.5999999999999993E-10</v>
      </c>
      <c r="D33" s="120">
        <f t="shared" si="0"/>
        <v>0</v>
      </c>
      <c r="E33" s="120">
        <f t="shared" si="0"/>
        <v>0</v>
      </c>
      <c r="F33" s="71">
        <v>9.9999999999999994E-12</v>
      </c>
      <c r="G33" s="77">
        <v>0</v>
      </c>
      <c r="H33" s="77"/>
      <c r="I33" s="70"/>
      <c r="J33" s="67"/>
      <c r="S33" s="119" t="s">
        <v>76</v>
      </c>
      <c r="T33" s="122">
        <v>2.4999999999999996E-10</v>
      </c>
    </row>
    <row r="34" spans="1:20" x14ac:dyDescent="0.3">
      <c r="A34" s="119" t="s">
        <v>78</v>
      </c>
      <c r="B34" s="49">
        <f t="shared" si="0"/>
        <v>6.1724444444444444</v>
      </c>
      <c r="C34" s="122">
        <f t="shared" si="1"/>
        <v>5.6000000000000005</v>
      </c>
      <c r="D34" s="120">
        <f t="shared" si="0"/>
        <v>0</v>
      </c>
      <c r="E34" s="120">
        <f t="shared" si="0"/>
        <v>0</v>
      </c>
      <c r="F34" s="71">
        <v>0.11022222222222222</v>
      </c>
      <c r="G34" s="77">
        <v>0.1</v>
      </c>
      <c r="H34" s="77"/>
      <c r="I34" s="70"/>
      <c r="J34" s="67"/>
      <c r="S34" s="119" t="s">
        <v>77</v>
      </c>
      <c r="T34" s="122">
        <v>2.4999999999999996E-10</v>
      </c>
    </row>
    <row r="35" spans="1:20" x14ac:dyDescent="0.3">
      <c r="A35" s="119" t="s">
        <v>79</v>
      </c>
      <c r="B35" s="49">
        <f t="shared" si="0"/>
        <v>8.9848888888888894</v>
      </c>
      <c r="C35" s="122">
        <f t="shared" si="1"/>
        <v>14.56</v>
      </c>
      <c r="D35" s="120">
        <f t="shared" si="0"/>
        <v>0</v>
      </c>
      <c r="E35" s="120">
        <f t="shared" si="0"/>
        <v>0</v>
      </c>
      <c r="F35" s="71">
        <v>0.16044444444444445</v>
      </c>
      <c r="G35" s="77">
        <v>0.26</v>
      </c>
      <c r="H35" s="77"/>
      <c r="I35" s="70"/>
      <c r="J35" s="67"/>
      <c r="S35" s="119" t="s">
        <v>78</v>
      </c>
      <c r="T35" s="122">
        <v>2.5</v>
      </c>
    </row>
    <row r="36" spans="1:20" x14ac:dyDescent="0.3">
      <c r="A36" s="119" t="s">
        <v>80</v>
      </c>
      <c r="B36" s="49">
        <f t="shared" si="0"/>
        <v>20.047999999999998</v>
      </c>
      <c r="C36" s="122">
        <f t="shared" si="1"/>
        <v>28.560000000000002</v>
      </c>
      <c r="D36" s="120">
        <f t="shared" si="0"/>
        <v>0</v>
      </c>
      <c r="E36" s="120">
        <f t="shared" si="0"/>
        <v>0</v>
      </c>
      <c r="F36" s="71">
        <v>0.35799999999999998</v>
      </c>
      <c r="G36" s="77">
        <v>0.51</v>
      </c>
      <c r="H36" s="77"/>
      <c r="I36" s="70"/>
      <c r="J36" s="67"/>
      <c r="S36" s="119" t="s">
        <v>79</v>
      </c>
      <c r="T36" s="122">
        <v>6.5</v>
      </c>
    </row>
    <row r="37" spans="1:20" x14ac:dyDescent="0.3">
      <c r="A37" s="119" t="s">
        <v>81</v>
      </c>
      <c r="B37" s="49">
        <f t="shared" si="0"/>
        <v>37.358222222222224</v>
      </c>
      <c r="C37" s="122">
        <f t="shared" si="1"/>
        <v>34.72</v>
      </c>
      <c r="D37" s="120">
        <f t="shared" si="0"/>
        <v>0</v>
      </c>
      <c r="E37" s="120">
        <f t="shared" si="0"/>
        <v>0</v>
      </c>
      <c r="F37" s="71">
        <v>0.6671111111111111</v>
      </c>
      <c r="G37" s="77">
        <v>0.62</v>
      </c>
      <c r="H37" s="77"/>
      <c r="I37" s="70"/>
      <c r="J37" s="67"/>
      <c r="S37" s="119" t="s">
        <v>80</v>
      </c>
      <c r="T37" s="122">
        <v>12.75</v>
      </c>
    </row>
    <row r="38" spans="1:20" x14ac:dyDescent="0.3">
      <c r="A38" s="119" t="s">
        <v>82</v>
      </c>
      <c r="B38" s="49">
        <f t="shared" si="0"/>
        <v>43.356444444444449</v>
      </c>
      <c r="C38" s="122">
        <f t="shared" si="1"/>
        <v>41.44</v>
      </c>
      <c r="D38" s="120">
        <f t="shared" si="0"/>
        <v>0</v>
      </c>
      <c r="E38" s="120">
        <f t="shared" si="0"/>
        <v>0</v>
      </c>
      <c r="F38" s="71">
        <v>0.77422222222222226</v>
      </c>
      <c r="G38" s="77">
        <v>0.74</v>
      </c>
      <c r="H38" s="77"/>
      <c r="I38" s="70"/>
      <c r="J38" s="67"/>
      <c r="S38" s="119" t="s">
        <v>81</v>
      </c>
      <c r="T38" s="122">
        <v>15.5</v>
      </c>
    </row>
    <row r="39" spans="1:20" x14ac:dyDescent="0.3">
      <c r="A39" s="119" t="s">
        <v>83</v>
      </c>
      <c r="B39" s="49">
        <f t="shared" si="0"/>
        <v>38.515555555555551</v>
      </c>
      <c r="C39" s="122">
        <f t="shared" si="1"/>
        <v>49.84</v>
      </c>
      <c r="D39" s="120">
        <f t="shared" si="0"/>
        <v>0</v>
      </c>
      <c r="E39" s="120">
        <f t="shared" si="0"/>
        <v>0</v>
      </c>
      <c r="F39" s="71">
        <v>0.68777777777777771</v>
      </c>
      <c r="G39" s="77">
        <v>0.89</v>
      </c>
      <c r="H39" s="77"/>
      <c r="I39" s="70"/>
      <c r="J39" s="67"/>
      <c r="S39" s="119" t="s">
        <v>82</v>
      </c>
      <c r="T39" s="122">
        <v>18.5</v>
      </c>
    </row>
    <row r="40" spans="1:20" x14ac:dyDescent="0.3">
      <c r="A40" s="119" t="s">
        <v>84</v>
      </c>
      <c r="B40" s="49">
        <f t="shared" si="0"/>
        <v>31.571555555555559</v>
      </c>
      <c r="C40" s="122">
        <f t="shared" si="1"/>
        <v>43.120000000000005</v>
      </c>
      <c r="D40" s="120">
        <f t="shared" si="0"/>
        <v>0</v>
      </c>
      <c r="E40" s="120">
        <f t="shared" si="0"/>
        <v>0</v>
      </c>
      <c r="F40" s="71">
        <v>0.56377777777777782</v>
      </c>
      <c r="G40" s="77">
        <v>0.77</v>
      </c>
      <c r="H40" s="77"/>
      <c r="I40" s="70"/>
      <c r="J40" s="67"/>
      <c r="S40" s="119" t="s">
        <v>83</v>
      </c>
      <c r="T40" s="122">
        <v>22.25</v>
      </c>
    </row>
    <row r="41" spans="1:20" x14ac:dyDescent="0.3">
      <c r="A41" s="119" t="s">
        <v>85</v>
      </c>
      <c r="B41" s="49">
        <f t="shared" si="0"/>
        <v>27.950222222222223</v>
      </c>
      <c r="C41" s="122">
        <f t="shared" si="1"/>
        <v>38.64</v>
      </c>
      <c r="D41" s="120">
        <f t="shared" si="0"/>
        <v>0</v>
      </c>
      <c r="E41" s="120">
        <f t="shared" si="0"/>
        <v>0</v>
      </c>
      <c r="F41" s="71">
        <v>0.49911111111111112</v>
      </c>
      <c r="G41" s="77">
        <v>0.69</v>
      </c>
      <c r="H41" s="77"/>
      <c r="I41" s="70"/>
      <c r="J41" s="67"/>
      <c r="S41" s="119" t="s">
        <v>84</v>
      </c>
      <c r="T41" s="122">
        <v>19.25</v>
      </c>
    </row>
    <row r="42" spans="1:20" x14ac:dyDescent="0.3">
      <c r="A42" s="119" t="s">
        <v>86</v>
      </c>
      <c r="B42" s="49">
        <f t="shared" si="0"/>
        <v>28.572444444444447</v>
      </c>
      <c r="C42" s="122">
        <f t="shared" si="1"/>
        <v>38.080000000000005</v>
      </c>
      <c r="D42" s="120">
        <f t="shared" si="0"/>
        <v>0</v>
      </c>
      <c r="E42" s="120">
        <f t="shared" si="0"/>
        <v>0</v>
      </c>
      <c r="F42" s="71">
        <v>0.51022222222222224</v>
      </c>
      <c r="G42" s="77">
        <v>0.68</v>
      </c>
      <c r="H42" s="77"/>
      <c r="I42" s="70"/>
      <c r="J42" s="67"/>
      <c r="S42" s="119" t="s">
        <v>85</v>
      </c>
      <c r="T42" s="122">
        <v>17.25</v>
      </c>
    </row>
    <row r="43" spans="1:20" x14ac:dyDescent="0.3">
      <c r="A43" s="119" t="s">
        <v>87</v>
      </c>
      <c r="B43" s="49">
        <f t="shared" si="0"/>
        <v>16.227555555555554</v>
      </c>
      <c r="C43" s="122">
        <f t="shared" si="1"/>
        <v>31.919999999999998</v>
      </c>
      <c r="D43" s="120">
        <f t="shared" si="0"/>
        <v>0</v>
      </c>
      <c r="E43" s="120">
        <f t="shared" si="0"/>
        <v>0</v>
      </c>
      <c r="F43" s="71">
        <v>0.28977777777777775</v>
      </c>
      <c r="G43" s="77">
        <v>0.56999999999999995</v>
      </c>
      <c r="H43" s="77"/>
      <c r="I43" s="70"/>
      <c r="J43" s="67"/>
      <c r="S43" s="119" t="s">
        <v>86</v>
      </c>
      <c r="T43" s="122">
        <v>17</v>
      </c>
    </row>
    <row r="44" spans="1:20" x14ac:dyDescent="0.3">
      <c r="A44" s="119" t="s">
        <v>88</v>
      </c>
      <c r="B44" s="49">
        <f t="shared" si="0"/>
        <v>10.565333333333333</v>
      </c>
      <c r="C44" s="122">
        <f t="shared" si="1"/>
        <v>17.920000000000002</v>
      </c>
      <c r="D44" s="120">
        <f t="shared" si="0"/>
        <v>0</v>
      </c>
      <c r="E44" s="120">
        <f t="shared" si="0"/>
        <v>0</v>
      </c>
      <c r="F44" s="71">
        <v>0.18866666666666668</v>
      </c>
      <c r="G44" s="77">
        <v>0.32</v>
      </c>
      <c r="H44" s="77"/>
      <c r="I44" s="70"/>
      <c r="J44" s="67"/>
      <c r="S44" s="119" t="s">
        <v>87</v>
      </c>
      <c r="T44" s="122">
        <v>14.249999999999998</v>
      </c>
    </row>
    <row r="45" spans="1:20" x14ac:dyDescent="0.3">
      <c r="A45" s="119" t="s">
        <v>89</v>
      </c>
      <c r="B45" s="49">
        <f t="shared" si="0"/>
        <v>3.2479999999999998</v>
      </c>
      <c r="C45" s="122">
        <f t="shared" si="1"/>
        <v>6.72</v>
      </c>
      <c r="D45" s="120">
        <f t="shared" si="0"/>
        <v>0</v>
      </c>
      <c r="E45" s="120">
        <f t="shared" si="0"/>
        <v>0</v>
      </c>
      <c r="F45" s="71">
        <v>5.7999999999999996E-2</v>
      </c>
      <c r="G45" s="77">
        <v>0.12</v>
      </c>
      <c r="H45" s="77"/>
      <c r="I45" s="70"/>
      <c r="J45" s="67"/>
      <c r="S45" s="119" t="s">
        <v>88</v>
      </c>
      <c r="T45" s="122">
        <v>8</v>
      </c>
    </row>
    <row r="46" spans="1:20" x14ac:dyDescent="0.3">
      <c r="A46" s="119" t="s">
        <v>90</v>
      </c>
      <c r="B46" s="49">
        <f t="shared" si="0"/>
        <v>7.9644444444444321E-10</v>
      </c>
      <c r="C46" s="122">
        <f t="shared" si="1"/>
        <v>5.5999999999999993E-10</v>
      </c>
      <c r="D46" s="120">
        <f t="shared" si="0"/>
        <v>0</v>
      </c>
      <c r="E46" s="120">
        <f t="shared" si="0"/>
        <v>0</v>
      </c>
      <c r="F46" s="71">
        <v>1.4222222222222199E-11</v>
      </c>
      <c r="G46" s="77">
        <v>0</v>
      </c>
      <c r="H46" s="77"/>
      <c r="I46" s="70"/>
      <c r="J46" s="67"/>
      <c r="S46" s="119" t="s">
        <v>89</v>
      </c>
      <c r="T46" s="122">
        <v>3</v>
      </c>
    </row>
    <row r="47" spans="1:20" x14ac:dyDescent="0.3">
      <c r="A47" s="119" t="s">
        <v>91</v>
      </c>
      <c r="B47" s="49">
        <f t="shared" si="0"/>
        <v>7.9644444444444321E-10</v>
      </c>
      <c r="C47" s="122">
        <f t="shared" si="1"/>
        <v>5.5999999999999993E-10</v>
      </c>
      <c r="D47" s="120">
        <f t="shared" si="0"/>
        <v>0</v>
      </c>
      <c r="E47" s="120">
        <f t="shared" si="0"/>
        <v>0</v>
      </c>
      <c r="F47" s="71">
        <v>1.4222222222222199E-11</v>
      </c>
      <c r="G47" s="77">
        <v>0</v>
      </c>
      <c r="H47" s="77"/>
      <c r="I47" s="70"/>
      <c r="J47" s="67"/>
      <c r="S47" s="119" t="s">
        <v>90</v>
      </c>
      <c r="T47" s="122">
        <v>2.4999999999999996E-10</v>
      </c>
    </row>
    <row r="48" spans="1:20" x14ac:dyDescent="0.3">
      <c r="A48" s="119" t="s">
        <v>92</v>
      </c>
      <c r="B48" s="49">
        <f t="shared" si="0"/>
        <v>7.9644444444444321E-10</v>
      </c>
      <c r="C48" s="122">
        <f t="shared" si="1"/>
        <v>5.5999999999999993E-10</v>
      </c>
      <c r="D48" s="120">
        <f t="shared" si="0"/>
        <v>0</v>
      </c>
      <c r="E48" s="120">
        <f t="shared" si="0"/>
        <v>0</v>
      </c>
      <c r="F48" s="71">
        <v>1.4222222222222199E-11</v>
      </c>
      <c r="G48" s="77">
        <v>0</v>
      </c>
      <c r="H48" s="77"/>
      <c r="I48" s="70"/>
      <c r="J48" s="67"/>
      <c r="S48" s="119" t="s">
        <v>91</v>
      </c>
      <c r="T48" s="122">
        <v>2.4999999999999996E-10</v>
      </c>
    </row>
    <row r="49" spans="1:20" x14ac:dyDescent="0.3">
      <c r="A49" s="119" t="s">
        <v>93</v>
      </c>
      <c r="B49" s="49">
        <f t="shared" si="0"/>
        <v>7.9644444444444321E-10</v>
      </c>
      <c r="C49" s="122">
        <f t="shared" si="1"/>
        <v>5.5999999999999993E-10</v>
      </c>
      <c r="D49" s="120">
        <f t="shared" si="0"/>
        <v>0</v>
      </c>
      <c r="E49" s="120">
        <f t="shared" si="0"/>
        <v>0</v>
      </c>
      <c r="F49" s="71">
        <v>1.4222222222222199E-11</v>
      </c>
      <c r="G49" s="77">
        <v>0</v>
      </c>
      <c r="H49" s="77"/>
      <c r="I49" s="70"/>
      <c r="J49" s="67"/>
      <c r="S49" s="119" t="s">
        <v>92</v>
      </c>
      <c r="T49" s="122">
        <v>2.4999999999999996E-10</v>
      </c>
    </row>
    <row r="50" spans="1:20" x14ac:dyDescent="0.3">
      <c r="A50" s="119" t="s">
        <v>94</v>
      </c>
      <c r="B50" s="49">
        <f t="shared" si="0"/>
        <v>7.9644444444444321E-10</v>
      </c>
      <c r="C50" s="122">
        <f t="shared" si="1"/>
        <v>5.5999999999999993E-10</v>
      </c>
      <c r="D50" s="120">
        <f t="shared" si="0"/>
        <v>0</v>
      </c>
      <c r="E50" s="120">
        <f t="shared" si="0"/>
        <v>0</v>
      </c>
      <c r="F50" s="71">
        <v>1.4222222222222199E-11</v>
      </c>
      <c r="G50" s="77">
        <v>0</v>
      </c>
      <c r="H50" s="77"/>
      <c r="I50" s="70"/>
      <c r="J50" s="67"/>
      <c r="S50" s="119" t="s">
        <v>93</v>
      </c>
      <c r="T50" s="122">
        <v>2.4999999999999996E-10</v>
      </c>
    </row>
    <row r="51" spans="1:20" x14ac:dyDescent="0.3">
      <c r="A51" s="119" t="s">
        <v>95</v>
      </c>
      <c r="B51" s="49">
        <f t="shared" si="0"/>
        <v>7.9644444444444321E-10</v>
      </c>
      <c r="C51" s="122">
        <f t="shared" si="1"/>
        <v>5.5999999999999993E-10</v>
      </c>
      <c r="D51" s="120">
        <f t="shared" si="0"/>
        <v>0</v>
      </c>
      <c r="E51" s="120">
        <f t="shared" si="0"/>
        <v>0</v>
      </c>
      <c r="F51" s="71">
        <v>1.4222222222222199E-11</v>
      </c>
      <c r="G51" s="77">
        <v>0</v>
      </c>
      <c r="H51" s="77"/>
      <c r="I51" s="70"/>
      <c r="J51" s="67"/>
      <c r="S51" s="119" t="s">
        <v>94</v>
      </c>
      <c r="T51" s="122">
        <v>2.4999999999999996E-10</v>
      </c>
    </row>
    <row r="52" spans="1:20" x14ac:dyDescent="0.3">
      <c r="A52" s="119" t="s">
        <v>96</v>
      </c>
      <c r="B52" s="49">
        <f t="shared" si="0"/>
        <v>7.9644444444444321E-10</v>
      </c>
      <c r="C52" s="122">
        <f t="shared" si="1"/>
        <v>5.5999999999999993E-10</v>
      </c>
      <c r="D52" s="120">
        <f t="shared" si="0"/>
        <v>0</v>
      </c>
      <c r="E52" s="120">
        <f t="shared" si="0"/>
        <v>0</v>
      </c>
      <c r="F52" s="71">
        <v>1.4222222222222199E-11</v>
      </c>
      <c r="G52" s="77">
        <v>0</v>
      </c>
      <c r="H52" s="77"/>
      <c r="I52" s="70"/>
      <c r="J52" s="67"/>
      <c r="S52" s="119" t="s">
        <v>95</v>
      </c>
      <c r="T52" s="122">
        <v>2.4999999999999996E-10</v>
      </c>
    </row>
    <row r="53" spans="1:20" x14ac:dyDescent="0.3">
      <c r="A53" s="119" t="s">
        <v>97</v>
      </c>
      <c r="B53" s="49">
        <f t="shared" si="0"/>
        <v>7.9644444444444321E-10</v>
      </c>
      <c r="C53" s="122">
        <f t="shared" si="1"/>
        <v>5.5999999999999993E-10</v>
      </c>
      <c r="D53" s="120">
        <f t="shared" si="0"/>
        <v>0</v>
      </c>
      <c r="E53" s="120">
        <f t="shared" si="0"/>
        <v>0</v>
      </c>
      <c r="F53" s="71">
        <v>1.4222222222222199E-11</v>
      </c>
      <c r="G53" s="77">
        <v>0</v>
      </c>
      <c r="H53" s="77"/>
      <c r="I53" s="70"/>
      <c r="J53" s="67"/>
      <c r="S53" s="119" t="s">
        <v>96</v>
      </c>
      <c r="T53" s="122">
        <v>2.4999999999999996E-10</v>
      </c>
    </row>
    <row r="54" spans="1:20" x14ac:dyDescent="0.3">
      <c r="A54" s="119" t="s">
        <v>98</v>
      </c>
      <c r="B54" s="49">
        <f t="shared" si="0"/>
        <v>7.9644444444444321E-10</v>
      </c>
      <c r="C54" s="122">
        <f t="shared" si="1"/>
        <v>5.5999999999999993E-10</v>
      </c>
      <c r="D54" s="120">
        <f t="shared" si="0"/>
        <v>0</v>
      </c>
      <c r="E54" s="120">
        <f t="shared" si="0"/>
        <v>0</v>
      </c>
      <c r="F54" s="71">
        <v>1.4222222222222199E-11</v>
      </c>
      <c r="G54" s="77">
        <v>0</v>
      </c>
      <c r="H54" s="77"/>
      <c r="I54" s="70"/>
      <c r="J54" s="67"/>
      <c r="S54" s="119" t="s">
        <v>97</v>
      </c>
      <c r="T54" s="122">
        <v>2.4999999999999996E-10</v>
      </c>
    </row>
    <row r="55" spans="1:20" x14ac:dyDescent="0.3">
      <c r="A55" s="119" t="s">
        <v>99</v>
      </c>
      <c r="B55" s="49">
        <f t="shared" si="0"/>
        <v>7.9644444444444321E-10</v>
      </c>
      <c r="C55" s="122">
        <f t="shared" si="1"/>
        <v>5.5999999999999993E-10</v>
      </c>
      <c r="D55" s="120">
        <f t="shared" si="0"/>
        <v>0</v>
      </c>
      <c r="E55" s="120">
        <f t="shared" si="0"/>
        <v>0</v>
      </c>
      <c r="F55" s="71">
        <v>1.4222222222222199E-11</v>
      </c>
      <c r="G55" s="77">
        <v>0</v>
      </c>
      <c r="H55" s="77"/>
      <c r="I55" s="70"/>
      <c r="J55" s="67"/>
      <c r="S55" s="119" t="s">
        <v>98</v>
      </c>
      <c r="T55" s="122">
        <v>2.4999999999999996E-10</v>
      </c>
    </row>
    <row r="56" spans="1:20" x14ac:dyDescent="0.3">
      <c r="A56" s="119" t="s">
        <v>100</v>
      </c>
      <c r="B56" s="49">
        <f t="shared" si="0"/>
        <v>7.9644444444444321E-10</v>
      </c>
      <c r="C56" s="122">
        <f t="shared" si="1"/>
        <v>5.5999999999999993E-10</v>
      </c>
      <c r="D56" s="120">
        <f t="shared" si="0"/>
        <v>0</v>
      </c>
      <c r="E56" s="120">
        <f t="shared" si="0"/>
        <v>0</v>
      </c>
      <c r="F56" s="71">
        <v>1.4222222222222199E-11</v>
      </c>
      <c r="G56" s="77">
        <v>0</v>
      </c>
      <c r="H56" s="77"/>
      <c r="I56" s="70"/>
      <c r="J56" s="67"/>
      <c r="S56" s="119" t="s">
        <v>99</v>
      </c>
      <c r="T56" s="122">
        <v>2.4999999999999996E-10</v>
      </c>
    </row>
    <row r="57" spans="1:20" x14ac:dyDescent="0.3">
      <c r="A57" s="119" t="s">
        <v>101</v>
      </c>
      <c r="B57" s="49">
        <f t="shared" si="0"/>
        <v>7.9644444444444321E-10</v>
      </c>
      <c r="C57" s="122">
        <f t="shared" si="1"/>
        <v>5.5999999999999993E-10</v>
      </c>
      <c r="D57" s="120">
        <f t="shared" si="0"/>
        <v>0</v>
      </c>
      <c r="E57" s="120">
        <f t="shared" si="0"/>
        <v>0</v>
      </c>
      <c r="F57" s="71">
        <v>1.4222222222222199E-11</v>
      </c>
      <c r="G57" s="77">
        <v>0</v>
      </c>
      <c r="H57" s="77"/>
      <c r="I57" s="70"/>
      <c r="J57" s="67"/>
      <c r="S57" s="119" t="s">
        <v>100</v>
      </c>
      <c r="T57" s="122">
        <v>2.4999999999999996E-10</v>
      </c>
    </row>
    <row r="58" spans="1:20" x14ac:dyDescent="0.3">
      <c r="A58" s="119" t="s">
        <v>102</v>
      </c>
      <c r="B58" s="49">
        <f t="shared" si="0"/>
        <v>8.4746666666666482E-10</v>
      </c>
      <c r="C58" s="122">
        <f t="shared" si="1"/>
        <v>3.36</v>
      </c>
      <c r="D58" s="120">
        <f t="shared" si="0"/>
        <v>0</v>
      </c>
      <c r="E58" s="120">
        <f t="shared" si="0"/>
        <v>0</v>
      </c>
      <c r="F58" s="71">
        <v>1.51333333333333E-11</v>
      </c>
      <c r="G58" s="77">
        <v>0.06</v>
      </c>
      <c r="H58" s="77"/>
      <c r="I58" s="70"/>
      <c r="J58" s="67"/>
      <c r="S58" s="119" t="s">
        <v>101</v>
      </c>
      <c r="T58" s="122">
        <v>2.4999999999999996E-10</v>
      </c>
    </row>
    <row r="59" spans="1:20" x14ac:dyDescent="0.3">
      <c r="A59" s="119" t="s">
        <v>103</v>
      </c>
      <c r="B59" s="49">
        <f t="shared" si="0"/>
        <v>9.4453333333333322</v>
      </c>
      <c r="C59" s="122">
        <f t="shared" si="1"/>
        <v>7.8400000000000007</v>
      </c>
      <c r="D59" s="120">
        <f t="shared" si="0"/>
        <v>0</v>
      </c>
      <c r="E59" s="120">
        <f t="shared" si="0"/>
        <v>0</v>
      </c>
      <c r="F59" s="71">
        <v>0.16866666666666666</v>
      </c>
      <c r="G59" s="77">
        <v>0.14000000000000001</v>
      </c>
      <c r="H59" s="77"/>
      <c r="I59" s="70"/>
      <c r="J59" s="67"/>
      <c r="S59" s="119" t="s">
        <v>102</v>
      </c>
      <c r="T59" s="122">
        <v>1.5</v>
      </c>
    </row>
    <row r="60" spans="1:20" x14ac:dyDescent="0.3">
      <c r="A60" s="119" t="s">
        <v>104</v>
      </c>
      <c r="B60" s="49">
        <f t="shared" si="0"/>
        <v>8.8977777777777778</v>
      </c>
      <c r="C60" s="122">
        <f t="shared" si="1"/>
        <v>16.8</v>
      </c>
      <c r="D60" s="120">
        <f t="shared" si="0"/>
        <v>0</v>
      </c>
      <c r="E60" s="120">
        <f t="shared" si="0"/>
        <v>0</v>
      </c>
      <c r="F60" s="71">
        <v>0.15888888888888889</v>
      </c>
      <c r="G60" s="77">
        <v>0.3</v>
      </c>
      <c r="H60" s="77"/>
      <c r="I60" s="70"/>
      <c r="J60" s="67"/>
      <c r="S60" s="119" t="s">
        <v>103</v>
      </c>
      <c r="T60" s="122">
        <v>3.5000000000000004</v>
      </c>
    </row>
    <row r="61" spans="1:20" x14ac:dyDescent="0.3">
      <c r="A61" s="119" t="s">
        <v>105</v>
      </c>
      <c r="B61" s="49">
        <f t="shared" si="0"/>
        <v>12.382222222222222</v>
      </c>
      <c r="C61" s="122">
        <f t="shared" si="1"/>
        <v>15.120000000000001</v>
      </c>
      <c r="D61" s="120">
        <f t="shared" si="0"/>
        <v>0</v>
      </c>
      <c r="E61" s="120">
        <f t="shared" si="0"/>
        <v>0</v>
      </c>
      <c r="F61" s="71">
        <v>0.22111111111111109</v>
      </c>
      <c r="G61" s="77">
        <v>0.27</v>
      </c>
      <c r="H61" s="77"/>
      <c r="I61" s="70"/>
      <c r="J61" s="67"/>
      <c r="S61" s="119" t="s">
        <v>104</v>
      </c>
      <c r="T61" s="122">
        <v>7.5</v>
      </c>
    </row>
    <row r="62" spans="1:20" x14ac:dyDescent="0.3">
      <c r="A62" s="119" t="s">
        <v>106</v>
      </c>
      <c r="B62" s="49">
        <f t="shared" si="0"/>
        <v>13.228444444444445</v>
      </c>
      <c r="C62" s="122">
        <f t="shared" si="1"/>
        <v>17.36</v>
      </c>
      <c r="D62" s="120">
        <f t="shared" si="0"/>
        <v>0</v>
      </c>
      <c r="E62" s="120">
        <f t="shared" si="0"/>
        <v>0</v>
      </c>
      <c r="F62" s="71">
        <v>0.23622222222222225</v>
      </c>
      <c r="G62" s="77">
        <v>0.31</v>
      </c>
      <c r="H62" s="77"/>
      <c r="I62" s="70"/>
      <c r="J62" s="67"/>
      <c r="S62" s="119" t="s">
        <v>105</v>
      </c>
      <c r="T62" s="122">
        <v>6.75</v>
      </c>
    </row>
    <row r="63" spans="1:20" x14ac:dyDescent="0.3">
      <c r="A63" s="119" t="s">
        <v>107</v>
      </c>
      <c r="B63" s="49">
        <f t="shared" si="0"/>
        <v>13.265777777777778</v>
      </c>
      <c r="C63" s="122">
        <f t="shared" si="1"/>
        <v>31.360000000000003</v>
      </c>
      <c r="D63" s="120">
        <f t="shared" si="0"/>
        <v>0</v>
      </c>
      <c r="E63" s="120">
        <f t="shared" si="0"/>
        <v>0</v>
      </c>
      <c r="F63" s="71">
        <v>0.2368888888888889</v>
      </c>
      <c r="G63" s="77">
        <v>0.56000000000000005</v>
      </c>
      <c r="H63" s="77"/>
      <c r="I63" s="70"/>
      <c r="J63" s="67"/>
      <c r="S63" s="119" t="s">
        <v>106</v>
      </c>
      <c r="T63" s="122">
        <v>7.75</v>
      </c>
    </row>
    <row r="64" spans="1:20" x14ac:dyDescent="0.3">
      <c r="A64" s="119" t="s">
        <v>108</v>
      </c>
      <c r="B64" s="49">
        <f t="shared" si="0"/>
        <v>14.821333333333333</v>
      </c>
      <c r="C64" s="122">
        <f t="shared" si="1"/>
        <v>44.800000000000004</v>
      </c>
      <c r="D64" s="120">
        <f t="shared" si="0"/>
        <v>0</v>
      </c>
      <c r="E64" s="120">
        <f t="shared" si="0"/>
        <v>0</v>
      </c>
      <c r="F64" s="71">
        <v>0.26466666666666666</v>
      </c>
      <c r="G64" s="77">
        <v>0.8</v>
      </c>
      <c r="H64" s="77"/>
      <c r="I64" s="70"/>
      <c r="J64" s="67"/>
      <c r="S64" s="119" t="s">
        <v>107</v>
      </c>
      <c r="T64" s="122">
        <v>14.000000000000002</v>
      </c>
    </row>
    <row r="65" spans="1:20" x14ac:dyDescent="0.3">
      <c r="A65" s="119" t="s">
        <v>109</v>
      </c>
      <c r="B65" s="49">
        <f t="shared" si="0"/>
        <v>14.398222222222223</v>
      </c>
      <c r="C65" s="122">
        <f t="shared" si="1"/>
        <v>44.24</v>
      </c>
      <c r="D65" s="120">
        <f t="shared" si="0"/>
        <v>0</v>
      </c>
      <c r="E65" s="120">
        <f t="shared" si="0"/>
        <v>0</v>
      </c>
      <c r="F65" s="71">
        <v>0.25711111111111112</v>
      </c>
      <c r="G65" s="77">
        <v>0.79</v>
      </c>
      <c r="H65" s="77"/>
      <c r="I65" s="70"/>
      <c r="J65" s="67"/>
      <c r="S65" s="119" t="s">
        <v>108</v>
      </c>
      <c r="T65" s="122">
        <v>20</v>
      </c>
    </row>
    <row r="66" spans="1:20" x14ac:dyDescent="0.3">
      <c r="A66" s="119" t="s">
        <v>110</v>
      </c>
      <c r="B66" s="49">
        <f t="shared" si="0"/>
        <v>6.5333333333333332</v>
      </c>
      <c r="C66" s="122">
        <f t="shared" si="1"/>
        <v>33.04</v>
      </c>
      <c r="D66" s="120">
        <f t="shared" si="0"/>
        <v>0</v>
      </c>
      <c r="E66" s="120">
        <f t="shared" si="0"/>
        <v>0</v>
      </c>
      <c r="F66" s="71">
        <v>0.11666666666666667</v>
      </c>
      <c r="G66" s="77">
        <v>0.59</v>
      </c>
      <c r="H66" s="77"/>
      <c r="I66" s="70"/>
      <c r="J66" s="67"/>
      <c r="S66" s="119" t="s">
        <v>109</v>
      </c>
      <c r="T66" s="122">
        <v>19.75</v>
      </c>
    </row>
    <row r="67" spans="1:20" x14ac:dyDescent="0.3">
      <c r="A67" s="119" t="s">
        <v>111</v>
      </c>
      <c r="B67" s="49">
        <f t="shared" si="0"/>
        <v>6.4088888888888889</v>
      </c>
      <c r="C67" s="122">
        <f t="shared" si="1"/>
        <v>25.76</v>
      </c>
      <c r="D67" s="120">
        <f t="shared" si="0"/>
        <v>0</v>
      </c>
      <c r="E67" s="120">
        <f t="shared" ref="E67:E130" si="2">I67*$L$1</f>
        <v>0</v>
      </c>
      <c r="F67" s="71">
        <v>0.11444444444444445</v>
      </c>
      <c r="G67" s="77">
        <v>0.46</v>
      </c>
      <c r="H67" s="77"/>
      <c r="I67" s="70"/>
      <c r="J67" s="67"/>
      <c r="S67" s="119" t="s">
        <v>110</v>
      </c>
      <c r="T67" s="122">
        <v>14.75</v>
      </c>
    </row>
    <row r="68" spans="1:20" x14ac:dyDescent="0.3">
      <c r="A68" s="119" t="s">
        <v>112</v>
      </c>
      <c r="B68" s="49">
        <f t="shared" ref="B68:E131" si="3">F68*$L$1</f>
        <v>6.6951111111111112</v>
      </c>
      <c r="C68" s="122">
        <f t="shared" ref="C68:C131" si="4">IF(G68*$L$1=0,0.00000000001*$L$1,G68*$L$1)</f>
        <v>19.599999999999998</v>
      </c>
      <c r="D68" s="120">
        <f t="shared" si="3"/>
        <v>0</v>
      </c>
      <c r="E68" s="120">
        <f t="shared" si="2"/>
        <v>0</v>
      </c>
      <c r="F68" s="71">
        <v>0.11955555555555555</v>
      </c>
      <c r="G68" s="77">
        <v>0.35</v>
      </c>
      <c r="H68" s="77"/>
      <c r="I68" s="70"/>
      <c r="J68" s="67"/>
      <c r="S68" s="119" t="s">
        <v>111</v>
      </c>
      <c r="T68" s="122">
        <v>11.5</v>
      </c>
    </row>
    <row r="69" spans="1:20" x14ac:dyDescent="0.3">
      <c r="A69" s="119" t="s">
        <v>113</v>
      </c>
      <c r="B69" s="49">
        <f t="shared" si="3"/>
        <v>7.9644444444444321E-10</v>
      </c>
      <c r="C69" s="122">
        <f t="shared" si="4"/>
        <v>5.04</v>
      </c>
      <c r="D69" s="120">
        <f t="shared" si="3"/>
        <v>0</v>
      </c>
      <c r="E69" s="120">
        <f t="shared" si="2"/>
        <v>0</v>
      </c>
      <c r="F69" s="71">
        <v>1.4222222222222199E-11</v>
      </c>
      <c r="G69" s="77">
        <v>0.09</v>
      </c>
      <c r="H69" s="77"/>
      <c r="I69" s="70"/>
      <c r="J69" s="67"/>
      <c r="S69" s="119" t="s">
        <v>112</v>
      </c>
      <c r="T69" s="122">
        <v>8.75</v>
      </c>
    </row>
    <row r="70" spans="1:20" x14ac:dyDescent="0.3">
      <c r="A70" s="119" t="s">
        <v>114</v>
      </c>
      <c r="B70" s="49">
        <f t="shared" si="3"/>
        <v>7.9644444444444321E-10</v>
      </c>
      <c r="C70" s="122">
        <f t="shared" si="4"/>
        <v>5.5999999999999993E-10</v>
      </c>
      <c r="D70" s="120">
        <f t="shared" si="3"/>
        <v>0</v>
      </c>
      <c r="E70" s="120">
        <f t="shared" si="2"/>
        <v>0</v>
      </c>
      <c r="F70" s="71">
        <v>1.4222222222222199E-11</v>
      </c>
      <c r="G70" s="77">
        <v>0</v>
      </c>
      <c r="H70" s="77"/>
      <c r="I70" s="70"/>
      <c r="J70" s="67"/>
      <c r="S70" s="119" t="s">
        <v>113</v>
      </c>
      <c r="T70" s="122">
        <v>2.25</v>
      </c>
    </row>
    <row r="71" spans="1:20" x14ac:dyDescent="0.3">
      <c r="A71" s="119" t="s">
        <v>115</v>
      </c>
      <c r="B71" s="49">
        <f t="shared" si="3"/>
        <v>7.9644444444444321E-10</v>
      </c>
      <c r="C71" s="122">
        <f t="shared" si="4"/>
        <v>5.5999999999999993E-10</v>
      </c>
      <c r="D71" s="120">
        <f t="shared" si="3"/>
        <v>0</v>
      </c>
      <c r="E71" s="120">
        <f t="shared" si="2"/>
        <v>0</v>
      </c>
      <c r="F71" s="71">
        <v>1.4222222222222199E-11</v>
      </c>
      <c r="G71" s="77">
        <v>0</v>
      </c>
      <c r="H71" s="77"/>
      <c r="I71" s="70"/>
      <c r="J71" s="67"/>
      <c r="S71" s="119" t="s">
        <v>114</v>
      </c>
      <c r="T71" s="122">
        <v>2.4999999999999996E-10</v>
      </c>
    </row>
    <row r="72" spans="1:20" x14ac:dyDescent="0.3">
      <c r="A72" s="119" t="s">
        <v>116</v>
      </c>
      <c r="B72" s="49">
        <f t="shared" si="3"/>
        <v>7.9644444444444321E-10</v>
      </c>
      <c r="C72" s="122">
        <f t="shared" si="4"/>
        <v>5.5999999999999993E-10</v>
      </c>
      <c r="D72" s="120">
        <f t="shared" si="3"/>
        <v>0</v>
      </c>
      <c r="E72" s="120">
        <f t="shared" si="2"/>
        <v>0</v>
      </c>
      <c r="F72" s="71">
        <v>1.4222222222222199E-11</v>
      </c>
      <c r="G72" s="77">
        <v>0</v>
      </c>
      <c r="H72" s="77"/>
      <c r="I72" s="70"/>
      <c r="J72" s="67"/>
      <c r="S72" s="119" t="s">
        <v>115</v>
      </c>
      <c r="T72" s="122">
        <v>2.4999999999999996E-10</v>
      </c>
    </row>
    <row r="73" spans="1:20" x14ac:dyDescent="0.3">
      <c r="A73" s="119" t="s">
        <v>117</v>
      </c>
      <c r="B73" s="49">
        <f t="shared" si="3"/>
        <v>7.9644444444444321E-10</v>
      </c>
      <c r="C73" s="122">
        <f t="shared" si="4"/>
        <v>5.5999999999999993E-10</v>
      </c>
      <c r="D73" s="120">
        <f t="shared" si="3"/>
        <v>0</v>
      </c>
      <c r="E73" s="120">
        <f t="shared" si="2"/>
        <v>0</v>
      </c>
      <c r="F73" s="71">
        <v>1.4222222222222199E-11</v>
      </c>
      <c r="G73" s="77">
        <v>0</v>
      </c>
      <c r="H73" s="77"/>
      <c r="I73" s="70"/>
      <c r="J73" s="67"/>
      <c r="S73" s="119" t="s">
        <v>116</v>
      </c>
      <c r="T73" s="122">
        <v>2.4999999999999996E-10</v>
      </c>
    </row>
    <row r="74" spans="1:20" x14ac:dyDescent="0.3">
      <c r="A74" s="119" t="s">
        <v>118</v>
      </c>
      <c r="B74" s="49">
        <f t="shared" si="3"/>
        <v>7.9644444444444321E-10</v>
      </c>
      <c r="C74" s="122">
        <f t="shared" si="4"/>
        <v>5.5999999999999993E-10</v>
      </c>
      <c r="D74" s="120">
        <f t="shared" si="3"/>
        <v>0</v>
      </c>
      <c r="E74" s="120">
        <f t="shared" si="2"/>
        <v>0</v>
      </c>
      <c r="F74" s="71">
        <v>1.4222222222222199E-11</v>
      </c>
      <c r="G74" s="77">
        <v>0</v>
      </c>
      <c r="H74" s="77"/>
      <c r="I74" s="70"/>
      <c r="J74" s="67"/>
      <c r="S74" s="119" t="s">
        <v>117</v>
      </c>
      <c r="T74" s="122">
        <v>2.4999999999999996E-10</v>
      </c>
    </row>
    <row r="75" spans="1:20" x14ac:dyDescent="0.3">
      <c r="A75" s="119" t="s">
        <v>119</v>
      </c>
      <c r="B75" s="49">
        <f t="shared" si="3"/>
        <v>7.9644444444444321E-10</v>
      </c>
      <c r="C75" s="122">
        <f t="shared" si="4"/>
        <v>5.5999999999999993E-10</v>
      </c>
      <c r="D75" s="120">
        <f t="shared" si="3"/>
        <v>0</v>
      </c>
      <c r="E75" s="120">
        <f t="shared" si="2"/>
        <v>0</v>
      </c>
      <c r="F75" s="71">
        <v>1.4222222222222199E-11</v>
      </c>
      <c r="G75" s="77">
        <v>0</v>
      </c>
      <c r="H75" s="77"/>
      <c r="I75" s="70"/>
      <c r="J75" s="67"/>
      <c r="S75" s="119" t="s">
        <v>118</v>
      </c>
      <c r="T75" s="122">
        <v>2.4999999999999996E-10</v>
      </c>
    </row>
    <row r="76" spans="1:20" x14ac:dyDescent="0.3">
      <c r="A76" s="119" t="s">
        <v>120</v>
      </c>
      <c r="B76" s="49">
        <f t="shared" si="3"/>
        <v>7.9644444444444321E-10</v>
      </c>
      <c r="C76" s="122">
        <f t="shared" si="4"/>
        <v>5.5999999999999993E-10</v>
      </c>
      <c r="D76" s="120">
        <f t="shared" si="3"/>
        <v>0</v>
      </c>
      <c r="E76" s="120">
        <f t="shared" si="2"/>
        <v>0</v>
      </c>
      <c r="F76" s="71">
        <v>1.4222222222222199E-11</v>
      </c>
      <c r="G76" s="77">
        <v>0</v>
      </c>
      <c r="H76" s="77"/>
      <c r="I76" s="70"/>
      <c r="J76" s="67"/>
      <c r="S76" s="119" t="s">
        <v>119</v>
      </c>
      <c r="T76" s="122">
        <v>2.4999999999999996E-10</v>
      </c>
    </row>
    <row r="77" spans="1:20" x14ac:dyDescent="0.3">
      <c r="A77" s="119" t="s">
        <v>121</v>
      </c>
      <c r="B77" s="49">
        <f t="shared" si="3"/>
        <v>7.9644444444444321E-10</v>
      </c>
      <c r="C77" s="122">
        <f t="shared" si="4"/>
        <v>5.5999999999999993E-10</v>
      </c>
      <c r="D77" s="120">
        <f t="shared" si="3"/>
        <v>0</v>
      </c>
      <c r="E77" s="120">
        <f t="shared" si="2"/>
        <v>0</v>
      </c>
      <c r="F77" s="71">
        <v>1.4222222222222199E-11</v>
      </c>
      <c r="G77" s="77">
        <v>0</v>
      </c>
      <c r="H77" s="77"/>
      <c r="I77" s="70"/>
      <c r="J77" s="67"/>
      <c r="S77" s="119" t="s">
        <v>120</v>
      </c>
      <c r="T77" s="122">
        <v>2.4999999999999996E-10</v>
      </c>
    </row>
    <row r="78" spans="1:20" x14ac:dyDescent="0.3">
      <c r="A78" s="119" t="s">
        <v>122</v>
      </c>
      <c r="B78" s="49">
        <f t="shared" si="3"/>
        <v>7.9644444444444321E-10</v>
      </c>
      <c r="C78" s="122">
        <f t="shared" si="4"/>
        <v>5.5999999999999993E-10</v>
      </c>
      <c r="D78" s="120">
        <f t="shared" si="3"/>
        <v>0</v>
      </c>
      <c r="E78" s="120">
        <f t="shared" si="2"/>
        <v>0</v>
      </c>
      <c r="F78" s="71">
        <v>1.4222222222222199E-11</v>
      </c>
      <c r="G78" s="77">
        <v>0</v>
      </c>
      <c r="H78" s="77"/>
      <c r="I78" s="70"/>
      <c r="J78" s="67"/>
      <c r="S78" s="119" t="s">
        <v>121</v>
      </c>
      <c r="T78" s="122">
        <v>2.4999999999999996E-10</v>
      </c>
    </row>
    <row r="79" spans="1:20" x14ac:dyDescent="0.3">
      <c r="A79" s="119" t="s">
        <v>123</v>
      </c>
      <c r="B79" s="49">
        <f t="shared" si="3"/>
        <v>7.9644444444444321E-10</v>
      </c>
      <c r="C79" s="122">
        <f t="shared" si="4"/>
        <v>5.5999999999999993E-10</v>
      </c>
      <c r="D79" s="120">
        <f t="shared" si="3"/>
        <v>0</v>
      </c>
      <c r="E79" s="120">
        <f t="shared" si="2"/>
        <v>0</v>
      </c>
      <c r="F79" s="71">
        <v>1.4222222222222199E-11</v>
      </c>
      <c r="G79" s="77">
        <v>0</v>
      </c>
      <c r="H79" s="77"/>
      <c r="I79" s="70"/>
      <c r="J79" s="67"/>
      <c r="S79" s="119" t="s">
        <v>122</v>
      </c>
      <c r="T79" s="122">
        <v>2.4999999999999996E-10</v>
      </c>
    </row>
    <row r="80" spans="1:20" x14ac:dyDescent="0.3">
      <c r="A80" s="119" t="s">
        <v>124</v>
      </c>
      <c r="B80" s="49">
        <f t="shared" si="3"/>
        <v>7.9644444444444321E-10</v>
      </c>
      <c r="C80" s="122">
        <f t="shared" si="4"/>
        <v>5.5999999999999993E-10</v>
      </c>
      <c r="D80" s="120">
        <f t="shared" si="3"/>
        <v>0</v>
      </c>
      <c r="E80" s="120">
        <f t="shared" si="2"/>
        <v>0</v>
      </c>
      <c r="F80" s="71">
        <v>1.4222222222222199E-11</v>
      </c>
      <c r="G80" s="77">
        <v>0</v>
      </c>
      <c r="H80" s="77"/>
      <c r="I80" s="70"/>
      <c r="J80" s="67"/>
      <c r="S80" s="119" t="s">
        <v>123</v>
      </c>
      <c r="T80" s="122">
        <v>2.4999999999999996E-10</v>
      </c>
    </row>
    <row r="81" spans="1:20" x14ac:dyDescent="0.3">
      <c r="A81" s="119" t="s">
        <v>125</v>
      </c>
      <c r="B81" s="49">
        <f t="shared" si="3"/>
        <v>7.9644444444444321E-10</v>
      </c>
      <c r="C81" s="122">
        <f t="shared" si="4"/>
        <v>5.5999999999999993E-10</v>
      </c>
      <c r="D81" s="120">
        <f t="shared" si="3"/>
        <v>0</v>
      </c>
      <c r="E81" s="120">
        <f t="shared" si="2"/>
        <v>0</v>
      </c>
      <c r="F81" s="71">
        <v>1.4222222222222199E-11</v>
      </c>
      <c r="G81" s="77">
        <v>0</v>
      </c>
      <c r="H81" s="77"/>
      <c r="I81" s="70"/>
      <c r="J81" s="67"/>
      <c r="S81" s="119" t="s">
        <v>124</v>
      </c>
      <c r="T81" s="122">
        <v>2.4999999999999996E-10</v>
      </c>
    </row>
    <row r="82" spans="1:20" x14ac:dyDescent="0.3">
      <c r="A82" s="119" t="s">
        <v>126</v>
      </c>
      <c r="B82" s="49">
        <f t="shared" si="3"/>
        <v>7.1431111111111116</v>
      </c>
      <c r="C82" s="122">
        <f t="shared" si="4"/>
        <v>7.28</v>
      </c>
      <c r="D82" s="120">
        <f t="shared" si="3"/>
        <v>0</v>
      </c>
      <c r="E82" s="120">
        <f t="shared" si="2"/>
        <v>0</v>
      </c>
      <c r="F82" s="71">
        <v>0.12755555555555556</v>
      </c>
      <c r="G82" s="77">
        <v>0.13</v>
      </c>
      <c r="H82" s="77"/>
      <c r="I82" s="70"/>
      <c r="J82" s="67"/>
      <c r="S82" s="119" t="s">
        <v>125</v>
      </c>
      <c r="T82" s="122">
        <v>2.4999999999999996E-10</v>
      </c>
    </row>
    <row r="83" spans="1:20" x14ac:dyDescent="0.3">
      <c r="A83" s="119" t="s">
        <v>127</v>
      </c>
      <c r="B83" s="49">
        <f t="shared" si="3"/>
        <v>11.710222222222223</v>
      </c>
      <c r="C83" s="122">
        <f t="shared" si="4"/>
        <v>14.56</v>
      </c>
      <c r="D83" s="120">
        <f t="shared" si="3"/>
        <v>0</v>
      </c>
      <c r="E83" s="120">
        <f t="shared" si="2"/>
        <v>0</v>
      </c>
      <c r="F83" s="71">
        <v>0.20911111111111111</v>
      </c>
      <c r="G83" s="77">
        <v>0.26</v>
      </c>
      <c r="H83" s="77"/>
      <c r="I83" s="70"/>
      <c r="J83" s="67"/>
      <c r="S83" s="119" t="s">
        <v>126</v>
      </c>
      <c r="T83" s="122">
        <v>3.25</v>
      </c>
    </row>
    <row r="84" spans="1:20" x14ac:dyDescent="0.3">
      <c r="A84" s="119" t="s">
        <v>128</v>
      </c>
      <c r="B84" s="49">
        <f t="shared" si="3"/>
        <v>9.2337777777777781</v>
      </c>
      <c r="C84" s="122">
        <f t="shared" si="4"/>
        <v>26.32</v>
      </c>
      <c r="D84" s="120">
        <f t="shared" si="3"/>
        <v>0</v>
      </c>
      <c r="E84" s="120">
        <f t="shared" si="2"/>
        <v>0</v>
      </c>
      <c r="F84" s="71">
        <v>0.16488888888888889</v>
      </c>
      <c r="G84" s="77">
        <v>0.47</v>
      </c>
      <c r="H84" s="77"/>
      <c r="I84" s="70"/>
      <c r="J84" s="67"/>
      <c r="S84" s="119" t="s">
        <v>127</v>
      </c>
      <c r="T84" s="122">
        <v>6.5</v>
      </c>
    </row>
    <row r="85" spans="1:20" x14ac:dyDescent="0.3">
      <c r="A85" s="119" t="s">
        <v>129</v>
      </c>
      <c r="B85" s="49">
        <f t="shared" si="3"/>
        <v>28.199111111111108</v>
      </c>
      <c r="C85" s="122">
        <f t="shared" si="4"/>
        <v>34.159999999999997</v>
      </c>
      <c r="D85" s="120">
        <f t="shared" si="3"/>
        <v>0</v>
      </c>
      <c r="E85" s="120">
        <f t="shared" si="2"/>
        <v>0</v>
      </c>
      <c r="F85" s="71">
        <v>0.50355555555555553</v>
      </c>
      <c r="G85" s="77">
        <v>0.61</v>
      </c>
      <c r="H85" s="77"/>
      <c r="I85" s="70"/>
      <c r="J85" s="67"/>
      <c r="S85" s="119" t="s">
        <v>128</v>
      </c>
      <c r="T85" s="122">
        <v>11.75</v>
      </c>
    </row>
    <row r="86" spans="1:20" x14ac:dyDescent="0.3">
      <c r="A86" s="119" t="s">
        <v>130</v>
      </c>
      <c r="B86" s="49">
        <f t="shared" si="3"/>
        <v>40.94222222222222</v>
      </c>
      <c r="C86" s="122">
        <f t="shared" si="4"/>
        <v>44.24</v>
      </c>
      <c r="D86" s="120">
        <f t="shared" si="3"/>
        <v>0</v>
      </c>
      <c r="E86" s="120">
        <f t="shared" si="2"/>
        <v>0</v>
      </c>
      <c r="F86" s="71">
        <v>0.73111111111111104</v>
      </c>
      <c r="G86" s="77">
        <v>0.79</v>
      </c>
      <c r="H86" s="77"/>
      <c r="I86" s="70"/>
      <c r="J86" s="67"/>
      <c r="S86" s="119" t="s">
        <v>129</v>
      </c>
      <c r="T86" s="122">
        <v>15.25</v>
      </c>
    </row>
    <row r="87" spans="1:20" x14ac:dyDescent="0.3">
      <c r="A87" s="119" t="s">
        <v>131</v>
      </c>
      <c r="B87" s="49">
        <f t="shared" si="3"/>
        <v>38.963555555555551</v>
      </c>
      <c r="C87" s="122">
        <f t="shared" si="4"/>
        <v>51.52</v>
      </c>
      <c r="D87" s="120">
        <f t="shared" si="3"/>
        <v>0</v>
      </c>
      <c r="E87" s="120">
        <f t="shared" si="2"/>
        <v>0</v>
      </c>
      <c r="F87" s="71">
        <v>0.69577777777777772</v>
      </c>
      <c r="G87" s="77">
        <v>0.92</v>
      </c>
      <c r="H87" s="77"/>
      <c r="I87" s="70"/>
      <c r="J87" s="67"/>
      <c r="S87" s="119" t="s">
        <v>130</v>
      </c>
      <c r="T87" s="122">
        <v>19.75</v>
      </c>
    </row>
    <row r="88" spans="1:20" x14ac:dyDescent="0.3">
      <c r="A88" s="119" t="s">
        <v>132</v>
      </c>
      <c r="B88" s="49">
        <f t="shared" si="3"/>
        <v>25.623111111111111</v>
      </c>
      <c r="C88" s="122">
        <f t="shared" si="4"/>
        <v>49.28</v>
      </c>
      <c r="D88" s="120">
        <f t="shared" si="3"/>
        <v>0</v>
      </c>
      <c r="E88" s="120">
        <f t="shared" si="2"/>
        <v>0</v>
      </c>
      <c r="F88" s="71">
        <v>0.45755555555555555</v>
      </c>
      <c r="G88" s="77">
        <v>0.88</v>
      </c>
      <c r="H88" s="77"/>
      <c r="I88" s="70"/>
      <c r="J88" s="67"/>
      <c r="S88" s="119" t="s">
        <v>131</v>
      </c>
      <c r="T88" s="122">
        <v>23</v>
      </c>
    </row>
    <row r="89" spans="1:20" x14ac:dyDescent="0.3">
      <c r="A89" s="119" t="s">
        <v>133</v>
      </c>
      <c r="B89" s="49">
        <f t="shared" si="3"/>
        <v>10.926222222222222</v>
      </c>
      <c r="C89" s="122">
        <f t="shared" si="4"/>
        <v>50.96</v>
      </c>
      <c r="D89" s="120">
        <f t="shared" si="3"/>
        <v>0</v>
      </c>
      <c r="E89" s="120">
        <f t="shared" si="2"/>
        <v>0</v>
      </c>
      <c r="F89" s="71">
        <v>0.1951111111111111</v>
      </c>
      <c r="G89" s="77">
        <v>0.91</v>
      </c>
      <c r="H89" s="77"/>
      <c r="I89" s="70"/>
      <c r="J89" s="67"/>
      <c r="S89" s="119" t="s">
        <v>132</v>
      </c>
      <c r="T89" s="122">
        <v>22</v>
      </c>
    </row>
    <row r="90" spans="1:20" x14ac:dyDescent="0.3">
      <c r="A90" s="119" t="s">
        <v>134</v>
      </c>
      <c r="B90" s="49">
        <f t="shared" si="3"/>
        <v>15.032888888888888</v>
      </c>
      <c r="C90" s="122">
        <f t="shared" si="4"/>
        <v>43.68</v>
      </c>
      <c r="D90" s="120">
        <f t="shared" si="3"/>
        <v>0</v>
      </c>
      <c r="E90" s="120">
        <f t="shared" si="2"/>
        <v>0</v>
      </c>
      <c r="F90" s="71">
        <v>0.26844444444444443</v>
      </c>
      <c r="G90" s="77">
        <v>0.78</v>
      </c>
      <c r="H90" s="77"/>
      <c r="I90" s="70"/>
      <c r="J90" s="67"/>
      <c r="S90" s="119" t="s">
        <v>133</v>
      </c>
      <c r="T90" s="122">
        <v>22.75</v>
      </c>
    </row>
    <row r="91" spans="1:20" x14ac:dyDescent="0.3">
      <c r="A91" s="119" t="s">
        <v>135</v>
      </c>
      <c r="B91" s="49">
        <f t="shared" si="3"/>
        <v>14.062222222222223</v>
      </c>
      <c r="C91" s="122">
        <f t="shared" si="4"/>
        <v>33.6</v>
      </c>
      <c r="D91" s="120">
        <f t="shared" si="3"/>
        <v>0</v>
      </c>
      <c r="E91" s="120">
        <f t="shared" si="2"/>
        <v>0</v>
      </c>
      <c r="F91" s="71">
        <v>0.25111111111111112</v>
      </c>
      <c r="G91" s="77">
        <v>0.6</v>
      </c>
      <c r="H91" s="77"/>
      <c r="I91" s="70"/>
      <c r="J91" s="67"/>
      <c r="S91" s="119" t="s">
        <v>134</v>
      </c>
      <c r="T91" s="122">
        <v>19.5</v>
      </c>
    </row>
    <row r="92" spans="1:20" x14ac:dyDescent="0.3">
      <c r="A92" s="119" t="s">
        <v>136</v>
      </c>
      <c r="B92" s="49">
        <f t="shared" si="3"/>
        <v>9.8186666666666653</v>
      </c>
      <c r="C92" s="122">
        <f t="shared" si="4"/>
        <v>20.72</v>
      </c>
      <c r="D92" s="120">
        <f t="shared" si="3"/>
        <v>0</v>
      </c>
      <c r="E92" s="120">
        <f t="shared" si="2"/>
        <v>0</v>
      </c>
      <c r="F92" s="71">
        <v>0.17533333333333331</v>
      </c>
      <c r="G92" s="77">
        <v>0.37</v>
      </c>
      <c r="H92" s="77"/>
      <c r="I92" s="70"/>
      <c r="J92" s="67"/>
      <c r="S92" s="119" t="s">
        <v>135</v>
      </c>
      <c r="T92" s="122">
        <v>15</v>
      </c>
    </row>
    <row r="93" spans="1:20" x14ac:dyDescent="0.3">
      <c r="A93" s="119" t="s">
        <v>137</v>
      </c>
      <c r="B93" s="49">
        <f t="shared" si="3"/>
        <v>7.9644444444444321E-10</v>
      </c>
      <c r="C93" s="122">
        <f t="shared" si="4"/>
        <v>6.72</v>
      </c>
      <c r="D93" s="120">
        <f t="shared" si="3"/>
        <v>0</v>
      </c>
      <c r="E93" s="120">
        <f t="shared" si="2"/>
        <v>0</v>
      </c>
      <c r="F93" s="71">
        <v>1.4222222222222199E-11</v>
      </c>
      <c r="G93" s="77">
        <v>0.12</v>
      </c>
      <c r="H93" s="77"/>
      <c r="I93" s="70"/>
      <c r="J93" s="67"/>
      <c r="S93" s="119" t="s">
        <v>136</v>
      </c>
      <c r="T93" s="122">
        <v>9.25</v>
      </c>
    </row>
    <row r="94" spans="1:20" x14ac:dyDescent="0.3">
      <c r="A94" s="119" t="s">
        <v>138</v>
      </c>
      <c r="B94" s="49">
        <f t="shared" si="3"/>
        <v>7.9644444444444321E-10</v>
      </c>
      <c r="C94" s="122">
        <f t="shared" si="4"/>
        <v>5.5999999999999993E-10</v>
      </c>
      <c r="D94" s="120">
        <f t="shared" si="3"/>
        <v>0</v>
      </c>
      <c r="E94" s="120">
        <f t="shared" si="2"/>
        <v>0</v>
      </c>
      <c r="F94" s="71">
        <v>1.4222222222222199E-11</v>
      </c>
      <c r="G94" s="77">
        <v>0</v>
      </c>
      <c r="H94" s="77"/>
      <c r="I94" s="70"/>
      <c r="J94" s="67"/>
      <c r="S94" s="119" t="s">
        <v>137</v>
      </c>
      <c r="T94" s="122">
        <v>3</v>
      </c>
    </row>
    <row r="95" spans="1:20" x14ac:dyDescent="0.3">
      <c r="A95" s="119" t="s">
        <v>139</v>
      </c>
      <c r="B95" s="49">
        <f t="shared" si="3"/>
        <v>7.9644444444444321E-10</v>
      </c>
      <c r="C95" s="122">
        <f t="shared" si="4"/>
        <v>5.5999999999999993E-10</v>
      </c>
      <c r="D95" s="120">
        <f t="shared" si="3"/>
        <v>0</v>
      </c>
      <c r="E95" s="120">
        <f t="shared" si="2"/>
        <v>0</v>
      </c>
      <c r="F95" s="71">
        <v>1.4222222222222199E-11</v>
      </c>
      <c r="G95" s="77">
        <v>0</v>
      </c>
      <c r="H95" s="77"/>
      <c r="I95" s="70"/>
      <c r="J95" s="67"/>
      <c r="S95" s="119" t="s">
        <v>138</v>
      </c>
      <c r="T95" s="122">
        <v>2.4999999999999996E-10</v>
      </c>
    </row>
    <row r="96" spans="1:20" x14ac:dyDescent="0.3">
      <c r="A96" s="119" t="s">
        <v>140</v>
      </c>
      <c r="B96" s="49">
        <f t="shared" si="3"/>
        <v>7.9644444444444321E-10</v>
      </c>
      <c r="C96" s="122">
        <f t="shared" si="4"/>
        <v>5.5999999999999993E-10</v>
      </c>
      <c r="D96" s="120">
        <f t="shared" si="3"/>
        <v>0</v>
      </c>
      <c r="E96" s="120">
        <f t="shared" si="2"/>
        <v>0</v>
      </c>
      <c r="F96" s="71">
        <v>1.4222222222222199E-11</v>
      </c>
      <c r="G96" s="77">
        <v>0</v>
      </c>
      <c r="H96" s="77"/>
      <c r="I96" s="70"/>
      <c r="J96" s="67"/>
      <c r="S96" s="119" t="s">
        <v>139</v>
      </c>
      <c r="T96" s="122">
        <v>2.4999999999999996E-10</v>
      </c>
    </row>
    <row r="97" spans="1:20" x14ac:dyDescent="0.3">
      <c r="A97" s="119" t="s">
        <v>141</v>
      </c>
      <c r="B97" s="49">
        <f t="shared" si="3"/>
        <v>7.9644444444444321E-10</v>
      </c>
      <c r="C97" s="122">
        <f t="shared" si="4"/>
        <v>5.5999999999999993E-10</v>
      </c>
      <c r="D97" s="120">
        <f t="shared" si="3"/>
        <v>0</v>
      </c>
      <c r="E97" s="120">
        <f t="shared" si="2"/>
        <v>0</v>
      </c>
      <c r="F97" s="71">
        <v>1.4222222222222199E-11</v>
      </c>
      <c r="G97" s="77">
        <v>0</v>
      </c>
      <c r="H97" s="77"/>
      <c r="I97" s="70"/>
      <c r="J97" s="67"/>
      <c r="S97" s="119" t="s">
        <v>140</v>
      </c>
      <c r="T97" s="122">
        <v>2.4999999999999996E-10</v>
      </c>
    </row>
    <row r="98" spans="1:20" x14ac:dyDescent="0.3">
      <c r="A98" s="119" t="s">
        <v>142</v>
      </c>
      <c r="B98" s="49">
        <f t="shared" si="3"/>
        <v>7.9644444444444321E-10</v>
      </c>
      <c r="C98" s="122">
        <f t="shared" si="4"/>
        <v>5.5999999999999993E-10</v>
      </c>
      <c r="D98" s="120">
        <f t="shared" si="3"/>
        <v>0</v>
      </c>
      <c r="E98" s="120">
        <f t="shared" si="2"/>
        <v>0</v>
      </c>
      <c r="F98" s="71">
        <v>1.4222222222222199E-11</v>
      </c>
      <c r="G98" s="77">
        <v>0</v>
      </c>
      <c r="H98" s="77"/>
      <c r="I98" s="70"/>
      <c r="J98" s="67"/>
      <c r="S98" s="119" t="s">
        <v>141</v>
      </c>
      <c r="T98" s="122">
        <v>2.4999999999999996E-10</v>
      </c>
    </row>
    <row r="99" spans="1:20" x14ac:dyDescent="0.3">
      <c r="A99" s="119" t="s">
        <v>143</v>
      </c>
      <c r="B99" s="49">
        <f t="shared" si="3"/>
        <v>7.9644444444444321E-10</v>
      </c>
      <c r="C99" s="122">
        <f t="shared" si="4"/>
        <v>5.5999999999999993E-10</v>
      </c>
      <c r="D99" s="120">
        <f t="shared" si="3"/>
        <v>0</v>
      </c>
      <c r="E99" s="120">
        <f t="shared" si="2"/>
        <v>0</v>
      </c>
      <c r="F99" s="71">
        <v>1.4222222222222199E-11</v>
      </c>
      <c r="G99" s="77">
        <v>0</v>
      </c>
      <c r="H99" s="77"/>
      <c r="I99" s="70"/>
      <c r="J99" s="67"/>
      <c r="S99" s="119" t="s">
        <v>142</v>
      </c>
      <c r="T99" s="122">
        <v>2.4999999999999996E-10</v>
      </c>
    </row>
    <row r="100" spans="1:20" x14ac:dyDescent="0.3">
      <c r="A100" s="119" t="s">
        <v>144</v>
      </c>
      <c r="B100" s="49">
        <f t="shared" si="3"/>
        <v>7.9644444444444321E-10</v>
      </c>
      <c r="C100" s="122">
        <f t="shared" si="4"/>
        <v>5.5999999999999993E-10</v>
      </c>
      <c r="D100" s="120">
        <f t="shared" si="3"/>
        <v>0</v>
      </c>
      <c r="E100" s="120">
        <f t="shared" si="2"/>
        <v>0</v>
      </c>
      <c r="F100" s="71">
        <v>1.4222222222222199E-11</v>
      </c>
      <c r="G100" s="77">
        <v>0</v>
      </c>
      <c r="H100" s="77"/>
      <c r="I100" s="70"/>
      <c r="J100" s="67"/>
      <c r="S100" s="119" t="s">
        <v>143</v>
      </c>
      <c r="T100" s="122">
        <v>2.4999999999999996E-10</v>
      </c>
    </row>
    <row r="101" spans="1:20" x14ac:dyDescent="0.3">
      <c r="A101" s="119" t="s">
        <v>145</v>
      </c>
      <c r="B101" s="49">
        <f t="shared" si="3"/>
        <v>7.9644444444444321E-10</v>
      </c>
      <c r="C101" s="122">
        <f t="shared" si="4"/>
        <v>5.5999999999999993E-10</v>
      </c>
      <c r="D101" s="120">
        <f t="shared" si="3"/>
        <v>0</v>
      </c>
      <c r="E101" s="120">
        <f t="shared" si="2"/>
        <v>0</v>
      </c>
      <c r="F101" s="71">
        <v>1.4222222222222199E-11</v>
      </c>
      <c r="G101" s="77">
        <v>0</v>
      </c>
      <c r="H101" s="77"/>
      <c r="I101" s="70"/>
      <c r="J101" s="67"/>
      <c r="S101" s="119" t="s">
        <v>144</v>
      </c>
      <c r="T101" s="122">
        <v>2.4999999999999996E-10</v>
      </c>
    </row>
    <row r="102" spans="1:20" x14ac:dyDescent="0.3">
      <c r="A102" s="119" t="s">
        <v>146</v>
      </c>
      <c r="B102" s="49">
        <f t="shared" si="3"/>
        <v>7.9644444444444321E-10</v>
      </c>
      <c r="C102" s="122">
        <f t="shared" si="4"/>
        <v>5.5999999999999993E-10</v>
      </c>
      <c r="D102" s="120">
        <f t="shared" si="3"/>
        <v>0</v>
      </c>
      <c r="E102" s="120">
        <f t="shared" si="2"/>
        <v>0</v>
      </c>
      <c r="F102" s="71">
        <v>1.4222222222222199E-11</v>
      </c>
      <c r="G102" s="77">
        <v>0</v>
      </c>
      <c r="H102" s="77"/>
      <c r="I102" s="70"/>
      <c r="J102" s="67"/>
      <c r="S102" s="119" t="s">
        <v>145</v>
      </c>
      <c r="T102" s="122">
        <v>2.4999999999999996E-10</v>
      </c>
    </row>
    <row r="103" spans="1:20" x14ac:dyDescent="0.3">
      <c r="A103" s="119" t="s">
        <v>147</v>
      </c>
      <c r="B103" s="49">
        <f t="shared" si="3"/>
        <v>7.9644444444444321E-10</v>
      </c>
      <c r="C103" s="122">
        <f t="shared" si="4"/>
        <v>5.5999999999999993E-10</v>
      </c>
      <c r="D103" s="120">
        <f t="shared" si="3"/>
        <v>0</v>
      </c>
      <c r="E103" s="120">
        <f t="shared" si="2"/>
        <v>0</v>
      </c>
      <c r="F103" s="71">
        <v>1.4222222222222199E-11</v>
      </c>
      <c r="G103" s="77">
        <v>0</v>
      </c>
      <c r="H103" s="77"/>
      <c r="I103" s="70"/>
      <c r="J103" s="67"/>
      <c r="S103" s="119" t="s">
        <v>146</v>
      </c>
      <c r="T103" s="122">
        <v>2.4999999999999996E-10</v>
      </c>
    </row>
    <row r="104" spans="1:20" x14ac:dyDescent="0.3">
      <c r="A104" s="119" t="s">
        <v>148</v>
      </c>
      <c r="B104" s="49">
        <f t="shared" si="3"/>
        <v>7.9644444444444321E-10</v>
      </c>
      <c r="C104" s="122">
        <f t="shared" si="4"/>
        <v>5.5999999999999993E-10</v>
      </c>
      <c r="D104" s="120">
        <f t="shared" si="3"/>
        <v>0</v>
      </c>
      <c r="E104" s="120">
        <f t="shared" si="2"/>
        <v>0</v>
      </c>
      <c r="F104" s="71">
        <v>1.4222222222222199E-11</v>
      </c>
      <c r="G104" s="77">
        <v>0</v>
      </c>
      <c r="H104" s="77"/>
      <c r="I104" s="70"/>
      <c r="J104" s="67"/>
      <c r="S104" s="119" t="s">
        <v>147</v>
      </c>
      <c r="T104" s="122">
        <v>2.4999999999999996E-10</v>
      </c>
    </row>
    <row r="105" spans="1:20" x14ac:dyDescent="0.3">
      <c r="A105" s="119" t="s">
        <v>149</v>
      </c>
      <c r="B105" s="49">
        <f t="shared" si="3"/>
        <v>7.9644444444444321E-10</v>
      </c>
      <c r="C105" s="122">
        <f t="shared" si="4"/>
        <v>5.5999999999999993E-10</v>
      </c>
      <c r="D105" s="120">
        <f t="shared" si="3"/>
        <v>0</v>
      </c>
      <c r="E105" s="120">
        <f t="shared" si="2"/>
        <v>0</v>
      </c>
      <c r="F105" s="71">
        <v>1.4222222222222199E-11</v>
      </c>
      <c r="G105" s="77">
        <v>0</v>
      </c>
      <c r="H105" s="77"/>
      <c r="I105" s="70"/>
      <c r="J105" s="67"/>
      <c r="S105" s="119" t="s">
        <v>148</v>
      </c>
      <c r="T105" s="122">
        <v>2.4999999999999996E-10</v>
      </c>
    </row>
    <row r="106" spans="1:20" x14ac:dyDescent="0.3">
      <c r="A106" s="119" t="s">
        <v>150</v>
      </c>
      <c r="B106" s="49">
        <f t="shared" si="3"/>
        <v>9.370666666666648E-10</v>
      </c>
      <c r="C106" s="122">
        <f t="shared" si="4"/>
        <v>6.16</v>
      </c>
      <c r="D106" s="120">
        <f t="shared" si="3"/>
        <v>0</v>
      </c>
      <c r="E106" s="120">
        <f t="shared" si="2"/>
        <v>0</v>
      </c>
      <c r="F106" s="71">
        <v>1.6733333333333299E-11</v>
      </c>
      <c r="G106" s="77">
        <v>0.11</v>
      </c>
      <c r="H106" s="77"/>
      <c r="I106" s="70"/>
      <c r="J106" s="67"/>
      <c r="S106" s="119" t="s">
        <v>149</v>
      </c>
      <c r="T106" s="122">
        <v>2.4999999999999996E-10</v>
      </c>
    </row>
    <row r="107" spans="1:20" x14ac:dyDescent="0.3">
      <c r="A107" s="119" t="s">
        <v>151</v>
      </c>
      <c r="B107" s="49">
        <f t="shared" si="3"/>
        <v>12.718222222222224</v>
      </c>
      <c r="C107" s="122">
        <f t="shared" si="4"/>
        <v>14</v>
      </c>
      <c r="D107" s="120">
        <f t="shared" si="3"/>
        <v>0</v>
      </c>
      <c r="E107" s="120">
        <f t="shared" si="2"/>
        <v>0</v>
      </c>
      <c r="F107" s="71">
        <v>0.22711111111111112</v>
      </c>
      <c r="G107" s="77">
        <v>0.25</v>
      </c>
      <c r="H107" s="77"/>
      <c r="I107" s="70"/>
      <c r="J107" s="67"/>
      <c r="S107" s="119" t="s">
        <v>150</v>
      </c>
      <c r="T107" s="122">
        <v>2.75</v>
      </c>
    </row>
    <row r="108" spans="1:20" x14ac:dyDescent="0.3">
      <c r="A108" s="119" t="s">
        <v>152</v>
      </c>
      <c r="B108" s="49">
        <f t="shared" si="3"/>
        <v>7.1804444444444435</v>
      </c>
      <c r="C108" s="122">
        <f t="shared" si="4"/>
        <v>26.88</v>
      </c>
      <c r="D108" s="120">
        <f t="shared" si="3"/>
        <v>0</v>
      </c>
      <c r="E108" s="120">
        <f t="shared" si="2"/>
        <v>0</v>
      </c>
      <c r="F108" s="71">
        <v>0.12822222222222221</v>
      </c>
      <c r="G108" s="77">
        <v>0.48</v>
      </c>
      <c r="H108" s="77"/>
      <c r="I108" s="70"/>
      <c r="J108" s="67"/>
      <c r="S108" s="119" t="s">
        <v>151</v>
      </c>
      <c r="T108" s="122">
        <v>6.25</v>
      </c>
    </row>
    <row r="109" spans="1:20" x14ac:dyDescent="0.3">
      <c r="A109" s="119" t="s">
        <v>153</v>
      </c>
      <c r="B109" s="49">
        <f t="shared" si="3"/>
        <v>5.8239999999999998</v>
      </c>
      <c r="C109" s="122">
        <f t="shared" si="4"/>
        <v>38.080000000000005</v>
      </c>
      <c r="D109" s="120">
        <f t="shared" si="3"/>
        <v>0</v>
      </c>
      <c r="E109" s="120">
        <f t="shared" si="2"/>
        <v>0</v>
      </c>
      <c r="F109" s="71">
        <v>0.104</v>
      </c>
      <c r="G109" s="77">
        <v>0.68</v>
      </c>
      <c r="H109" s="77"/>
      <c r="I109" s="70"/>
      <c r="J109" s="67"/>
      <c r="S109" s="119" t="s">
        <v>152</v>
      </c>
      <c r="T109" s="122">
        <v>12</v>
      </c>
    </row>
    <row r="110" spans="1:20" x14ac:dyDescent="0.3">
      <c r="A110" s="119" t="s">
        <v>154</v>
      </c>
      <c r="B110" s="49">
        <f t="shared" si="3"/>
        <v>6.8071111111111113</v>
      </c>
      <c r="C110" s="122">
        <f t="shared" si="4"/>
        <v>39.76</v>
      </c>
      <c r="D110" s="120">
        <f t="shared" si="3"/>
        <v>0</v>
      </c>
      <c r="E110" s="120">
        <f t="shared" si="2"/>
        <v>0</v>
      </c>
      <c r="F110" s="71">
        <v>0.12155555555555556</v>
      </c>
      <c r="G110" s="77">
        <v>0.71</v>
      </c>
      <c r="H110" s="77"/>
      <c r="I110" s="70"/>
      <c r="J110" s="67"/>
      <c r="S110" s="119" t="s">
        <v>153</v>
      </c>
      <c r="T110" s="122">
        <v>17</v>
      </c>
    </row>
    <row r="111" spans="1:20" x14ac:dyDescent="0.3">
      <c r="A111" s="119" t="s">
        <v>155</v>
      </c>
      <c r="B111" s="49">
        <f t="shared" si="3"/>
        <v>7.4791111111111102</v>
      </c>
      <c r="C111" s="122">
        <f t="shared" si="4"/>
        <v>52.64</v>
      </c>
      <c r="D111" s="120">
        <f t="shared" si="3"/>
        <v>0</v>
      </c>
      <c r="E111" s="120">
        <f t="shared" si="2"/>
        <v>0</v>
      </c>
      <c r="F111" s="71">
        <v>0.13355555555555554</v>
      </c>
      <c r="G111" s="77">
        <v>0.94</v>
      </c>
      <c r="H111" s="77"/>
      <c r="I111" s="70"/>
      <c r="J111" s="67"/>
      <c r="S111" s="119" t="s">
        <v>154</v>
      </c>
      <c r="T111" s="122">
        <v>17.75</v>
      </c>
    </row>
    <row r="112" spans="1:20" x14ac:dyDescent="0.3">
      <c r="A112" s="119" t="s">
        <v>156</v>
      </c>
      <c r="B112" s="49">
        <f t="shared" si="3"/>
        <v>19.873777777777779</v>
      </c>
      <c r="C112" s="122">
        <f t="shared" si="4"/>
        <v>53.76</v>
      </c>
      <c r="D112" s="120">
        <f t="shared" si="3"/>
        <v>0</v>
      </c>
      <c r="E112" s="120">
        <f t="shared" si="2"/>
        <v>0</v>
      </c>
      <c r="F112" s="71">
        <v>0.35488888888888892</v>
      </c>
      <c r="G112" s="77">
        <v>0.96</v>
      </c>
      <c r="H112" s="77"/>
      <c r="I112" s="70"/>
      <c r="J112" s="67"/>
      <c r="S112" s="119" t="s">
        <v>155</v>
      </c>
      <c r="T112" s="122">
        <v>23.5</v>
      </c>
    </row>
    <row r="113" spans="1:20" x14ac:dyDescent="0.3">
      <c r="A113" s="119" t="s">
        <v>157</v>
      </c>
      <c r="B113" s="49">
        <f t="shared" si="3"/>
        <v>9.8186666666666653</v>
      </c>
      <c r="C113" s="122">
        <f t="shared" si="4"/>
        <v>50.96</v>
      </c>
      <c r="D113" s="120">
        <f t="shared" si="3"/>
        <v>0</v>
      </c>
      <c r="E113" s="120">
        <f t="shared" si="2"/>
        <v>0</v>
      </c>
      <c r="F113" s="71">
        <v>0.17533333333333331</v>
      </c>
      <c r="G113" s="77">
        <v>0.91</v>
      </c>
      <c r="H113" s="77"/>
      <c r="I113" s="70"/>
      <c r="J113" s="67"/>
      <c r="S113" s="119" t="s">
        <v>156</v>
      </c>
      <c r="T113" s="122">
        <v>24</v>
      </c>
    </row>
    <row r="114" spans="1:20" x14ac:dyDescent="0.3">
      <c r="A114" s="119" t="s">
        <v>158</v>
      </c>
      <c r="B114" s="49">
        <f t="shared" si="3"/>
        <v>9.3955555555555552</v>
      </c>
      <c r="C114" s="122">
        <f t="shared" si="4"/>
        <v>44.24</v>
      </c>
      <c r="D114" s="120">
        <f t="shared" si="3"/>
        <v>0</v>
      </c>
      <c r="E114" s="120">
        <f t="shared" si="2"/>
        <v>0</v>
      </c>
      <c r="F114" s="71">
        <v>0.16777777777777778</v>
      </c>
      <c r="G114" s="77">
        <v>0.79</v>
      </c>
      <c r="H114" s="77"/>
      <c r="I114" s="70"/>
      <c r="J114" s="67"/>
      <c r="S114" s="119" t="s">
        <v>157</v>
      </c>
      <c r="T114" s="122">
        <v>22.75</v>
      </c>
    </row>
    <row r="115" spans="1:20" x14ac:dyDescent="0.3">
      <c r="A115" s="119" t="s">
        <v>159</v>
      </c>
      <c r="B115" s="49">
        <f t="shared" si="3"/>
        <v>7.0684444444444434</v>
      </c>
      <c r="C115" s="122">
        <f t="shared" si="4"/>
        <v>31.919999999999998</v>
      </c>
      <c r="D115" s="120">
        <f t="shared" si="3"/>
        <v>0</v>
      </c>
      <c r="E115" s="120">
        <f t="shared" si="2"/>
        <v>0</v>
      </c>
      <c r="F115" s="71">
        <v>0.12622222222222221</v>
      </c>
      <c r="G115" s="77">
        <v>0.56999999999999995</v>
      </c>
      <c r="H115" s="77"/>
      <c r="I115" s="70"/>
      <c r="J115" s="67"/>
      <c r="S115" s="119" t="s">
        <v>158</v>
      </c>
      <c r="T115" s="122">
        <v>19.75</v>
      </c>
    </row>
    <row r="116" spans="1:20" x14ac:dyDescent="0.3">
      <c r="A116" s="119" t="s">
        <v>160</v>
      </c>
      <c r="B116" s="49">
        <f t="shared" si="3"/>
        <v>1.008E-9</v>
      </c>
      <c r="C116" s="122">
        <f t="shared" si="4"/>
        <v>20.16</v>
      </c>
      <c r="D116" s="120">
        <f t="shared" si="3"/>
        <v>0</v>
      </c>
      <c r="E116" s="120">
        <f t="shared" si="2"/>
        <v>0</v>
      </c>
      <c r="F116" s="71">
        <v>1.7999999999999999E-11</v>
      </c>
      <c r="G116" s="77">
        <v>0.36</v>
      </c>
      <c r="H116" s="77"/>
      <c r="I116" s="70"/>
      <c r="J116" s="67"/>
      <c r="S116" s="119" t="s">
        <v>159</v>
      </c>
      <c r="T116" s="122">
        <v>14.249999999999998</v>
      </c>
    </row>
    <row r="117" spans="1:20" x14ac:dyDescent="0.3">
      <c r="A117" s="119" t="s">
        <v>161</v>
      </c>
      <c r="B117" s="49">
        <f t="shared" si="3"/>
        <v>7.9644444444444321E-10</v>
      </c>
      <c r="C117" s="122">
        <f t="shared" si="4"/>
        <v>7.28</v>
      </c>
      <c r="D117" s="120">
        <f t="shared" si="3"/>
        <v>0</v>
      </c>
      <c r="E117" s="120">
        <f t="shared" si="2"/>
        <v>0</v>
      </c>
      <c r="F117" s="71">
        <v>1.4222222222222199E-11</v>
      </c>
      <c r="G117" s="77">
        <v>0.13</v>
      </c>
      <c r="H117" s="77"/>
      <c r="I117" s="70"/>
      <c r="J117" s="67"/>
      <c r="S117" s="119" t="s">
        <v>160</v>
      </c>
      <c r="T117" s="122">
        <v>9</v>
      </c>
    </row>
    <row r="118" spans="1:20" x14ac:dyDescent="0.3">
      <c r="A118" s="119" t="s">
        <v>162</v>
      </c>
      <c r="B118" s="49">
        <f t="shared" si="3"/>
        <v>7.9644444444444321E-10</v>
      </c>
      <c r="C118" s="122">
        <f t="shared" si="4"/>
        <v>5.5999999999999993E-10</v>
      </c>
      <c r="D118" s="120">
        <f t="shared" si="3"/>
        <v>0</v>
      </c>
      <c r="E118" s="120">
        <f t="shared" si="2"/>
        <v>0</v>
      </c>
      <c r="F118" s="71">
        <v>1.4222222222222199E-11</v>
      </c>
      <c r="G118" s="77">
        <v>0</v>
      </c>
      <c r="H118" s="77"/>
      <c r="I118" s="70"/>
      <c r="J118" s="67"/>
      <c r="S118" s="119" t="s">
        <v>161</v>
      </c>
      <c r="T118" s="122">
        <v>3.25</v>
      </c>
    </row>
    <row r="119" spans="1:20" x14ac:dyDescent="0.3">
      <c r="A119" s="119" t="s">
        <v>163</v>
      </c>
      <c r="B119" s="49">
        <f t="shared" si="3"/>
        <v>7.9644444444444321E-10</v>
      </c>
      <c r="C119" s="122">
        <f t="shared" si="4"/>
        <v>5.5999999999999993E-10</v>
      </c>
      <c r="D119" s="120">
        <f t="shared" si="3"/>
        <v>0</v>
      </c>
      <c r="E119" s="120">
        <f t="shared" si="2"/>
        <v>0</v>
      </c>
      <c r="F119" s="71">
        <v>1.4222222222222199E-11</v>
      </c>
      <c r="G119" s="77">
        <v>0</v>
      </c>
      <c r="H119" s="77"/>
      <c r="I119" s="70"/>
      <c r="J119" s="67"/>
      <c r="S119" s="119" t="s">
        <v>162</v>
      </c>
      <c r="T119" s="122">
        <v>2.4999999999999996E-10</v>
      </c>
    </row>
    <row r="120" spans="1:20" x14ac:dyDescent="0.3">
      <c r="A120" s="119" t="s">
        <v>164</v>
      </c>
      <c r="B120" s="49">
        <f t="shared" si="3"/>
        <v>7.9644444444444321E-10</v>
      </c>
      <c r="C120" s="122">
        <f t="shared" si="4"/>
        <v>5.5999999999999993E-10</v>
      </c>
      <c r="D120" s="120">
        <f t="shared" si="3"/>
        <v>0</v>
      </c>
      <c r="E120" s="120">
        <f t="shared" si="2"/>
        <v>0</v>
      </c>
      <c r="F120" s="71">
        <v>1.4222222222222199E-11</v>
      </c>
      <c r="G120" s="77">
        <v>0</v>
      </c>
      <c r="H120" s="77"/>
      <c r="I120" s="70"/>
      <c r="J120" s="67"/>
      <c r="S120" s="119" t="s">
        <v>163</v>
      </c>
      <c r="T120" s="122">
        <v>2.4999999999999996E-10</v>
      </c>
    </row>
    <row r="121" spans="1:20" x14ac:dyDescent="0.3">
      <c r="A121" s="119" t="s">
        <v>165</v>
      </c>
      <c r="B121" s="49">
        <f t="shared" si="3"/>
        <v>7.9644444444444321E-10</v>
      </c>
      <c r="C121" s="122">
        <f t="shared" si="4"/>
        <v>5.5999999999999993E-10</v>
      </c>
      <c r="D121" s="120">
        <f t="shared" si="3"/>
        <v>0</v>
      </c>
      <c r="E121" s="120">
        <f t="shared" si="2"/>
        <v>0</v>
      </c>
      <c r="F121" s="71">
        <v>1.4222222222222199E-11</v>
      </c>
      <c r="G121" s="77">
        <v>0</v>
      </c>
      <c r="H121" s="77"/>
      <c r="I121" s="70"/>
      <c r="J121" s="67"/>
      <c r="S121" s="119" t="s">
        <v>164</v>
      </c>
      <c r="T121" s="122">
        <v>2.4999999999999996E-10</v>
      </c>
    </row>
    <row r="122" spans="1:20" x14ac:dyDescent="0.3">
      <c r="A122" s="119" t="s">
        <v>166</v>
      </c>
      <c r="B122" s="49">
        <f t="shared" si="3"/>
        <v>7.9644444444444321E-10</v>
      </c>
      <c r="C122" s="122">
        <f t="shared" si="4"/>
        <v>5.5999999999999993E-10</v>
      </c>
      <c r="D122" s="120">
        <f t="shared" si="3"/>
        <v>0</v>
      </c>
      <c r="E122" s="120">
        <f t="shared" si="2"/>
        <v>0</v>
      </c>
      <c r="F122" s="71">
        <v>1.4222222222222199E-11</v>
      </c>
      <c r="G122" s="77">
        <v>0</v>
      </c>
      <c r="H122" s="77"/>
      <c r="I122" s="70"/>
      <c r="J122" s="67"/>
      <c r="S122" s="119" t="s">
        <v>165</v>
      </c>
      <c r="T122" s="122">
        <v>2.4999999999999996E-10</v>
      </c>
    </row>
    <row r="123" spans="1:20" x14ac:dyDescent="0.3">
      <c r="A123" s="119" t="s">
        <v>167</v>
      </c>
      <c r="B123" s="49">
        <f t="shared" si="3"/>
        <v>7.9644444444444321E-10</v>
      </c>
      <c r="C123" s="122">
        <f t="shared" si="4"/>
        <v>5.5999999999999993E-10</v>
      </c>
      <c r="D123" s="120">
        <f t="shared" si="3"/>
        <v>0</v>
      </c>
      <c r="E123" s="120">
        <f t="shared" si="2"/>
        <v>0</v>
      </c>
      <c r="F123" s="71">
        <v>1.4222222222222199E-11</v>
      </c>
      <c r="G123" s="77">
        <v>0</v>
      </c>
      <c r="H123" s="77"/>
      <c r="I123" s="70"/>
      <c r="J123" s="67"/>
      <c r="S123" s="119" t="s">
        <v>166</v>
      </c>
      <c r="T123" s="122">
        <v>2.4999999999999996E-10</v>
      </c>
    </row>
    <row r="124" spans="1:20" x14ac:dyDescent="0.3">
      <c r="A124" s="119" t="s">
        <v>168</v>
      </c>
      <c r="B124" s="49">
        <f t="shared" si="3"/>
        <v>7.9644444444444321E-10</v>
      </c>
      <c r="C124" s="122">
        <f t="shared" si="4"/>
        <v>5.5999999999999993E-10</v>
      </c>
      <c r="D124" s="120">
        <f t="shared" si="3"/>
        <v>0</v>
      </c>
      <c r="E124" s="120">
        <f t="shared" si="2"/>
        <v>0</v>
      </c>
      <c r="F124" s="71">
        <v>1.4222222222222199E-11</v>
      </c>
      <c r="G124" s="77">
        <v>0</v>
      </c>
      <c r="H124" s="77"/>
      <c r="I124" s="70"/>
      <c r="J124" s="67"/>
      <c r="S124" s="119" t="s">
        <v>167</v>
      </c>
      <c r="T124" s="122">
        <v>2.4999999999999996E-10</v>
      </c>
    </row>
    <row r="125" spans="1:20" x14ac:dyDescent="0.3">
      <c r="A125" s="119" t="s">
        <v>169</v>
      </c>
      <c r="B125" s="49">
        <f t="shared" si="3"/>
        <v>7.9644444444444321E-10</v>
      </c>
      <c r="C125" s="122">
        <f t="shared" si="4"/>
        <v>5.5999999999999993E-10</v>
      </c>
      <c r="D125" s="120">
        <f t="shared" si="3"/>
        <v>0</v>
      </c>
      <c r="E125" s="120">
        <f t="shared" si="2"/>
        <v>0</v>
      </c>
      <c r="F125" s="71">
        <v>1.4222222222222199E-11</v>
      </c>
      <c r="G125" s="77">
        <v>0</v>
      </c>
      <c r="H125" s="77"/>
      <c r="I125" s="70"/>
      <c r="J125" s="67"/>
      <c r="S125" s="119" t="s">
        <v>168</v>
      </c>
      <c r="T125" s="122">
        <v>2.4999999999999996E-10</v>
      </c>
    </row>
    <row r="126" spans="1:20" x14ac:dyDescent="0.3">
      <c r="A126" s="119" t="s">
        <v>170</v>
      </c>
      <c r="B126" s="49">
        <f t="shared" si="3"/>
        <v>7.9644444444444321E-10</v>
      </c>
      <c r="C126" s="122">
        <f t="shared" si="4"/>
        <v>5.5999999999999993E-10</v>
      </c>
      <c r="D126" s="120">
        <f t="shared" si="3"/>
        <v>0</v>
      </c>
      <c r="E126" s="120">
        <f t="shared" si="2"/>
        <v>0</v>
      </c>
      <c r="F126" s="71">
        <v>1.4222222222222199E-11</v>
      </c>
      <c r="G126" s="77">
        <v>0</v>
      </c>
      <c r="H126" s="77"/>
      <c r="I126" s="70"/>
      <c r="J126" s="67"/>
      <c r="S126" s="119" t="s">
        <v>169</v>
      </c>
      <c r="T126" s="122">
        <v>2.4999999999999996E-10</v>
      </c>
    </row>
    <row r="127" spans="1:20" x14ac:dyDescent="0.3">
      <c r="A127" s="119" t="s">
        <v>171</v>
      </c>
      <c r="B127" s="49">
        <f t="shared" si="3"/>
        <v>7.9644444444444321E-10</v>
      </c>
      <c r="C127" s="122">
        <f t="shared" si="4"/>
        <v>5.5999999999999993E-10</v>
      </c>
      <c r="D127" s="120">
        <f t="shared" si="3"/>
        <v>0</v>
      </c>
      <c r="E127" s="120">
        <f t="shared" si="2"/>
        <v>0</v>
      </c>
      <c r="F127" s="71">
        <v>1.4222222222222199E-11</v>
      </c>
      <c r="G127" s="77">
        <v>0</v>
      </c>
      <c r="H127" s="77"/>
      <c r="I127" s="70"/>
      <c r="J127" s="67"/>
      <c r="S127" s="119" t="s">
        <v>170</v>
      </c>
      <c r="T127" s="122">
        <v>2.4999999999999996E-10</v>
      </c>
    </row>
    <row r="128" spans="1:20" x14ac:dyDescent="0.3">
      <c r="A128" s="119" t="s">
        <v>172</v>
      </c>
      <c r="B128" s="49">
        <f t="shared" si="3"/>
        <v>7.9644444444444321E-10</v>
      </c>
      <c r="C128" s="122">
        <f t="shared" si="4"/>
        <v>5.5999999999999993E-10</v>
      </c>
      <c r="D128" s="120">
        <f t="shared" si="3"/>
        <v>0</v>
      </c>
      <c r="E128" s="120">
        <f t="shared" si="2"/>
        <v>0</v>
      </c>
      <c r="F128" s="71">
        <v>1.4222222222222199E-11</v>
      </c>
      <c r="G128" s="77">
        <v>0</v>
      </c>
      <c r="H128" s="77"/>
      <c r="I128" s="70"/>
      <c r="J128" s="67"/>
      <c r="S128" s="119" t="s">
        <v>171</v>
      </c>
      <c r="T128" s="122">
        <v>2.4999999999999996E-10</v>
      </c>
    </row>
    <row r="129" spans="1:20" x14ac:dyDescent="0.3">
      <c r="A129" s="119" t="s">
        <v>173</v>
      </c>
      <c r="B129" s="49">
        <f t="shared" si="3"/>
        <v>7.9644444444444321E-10</v>
      </c>
      <c r="C129" s="122">
        <f t="shared" si="4"/>
        <v>5.5999999999999993E-10</v>
      </c>
      <c r="D129" s="120">
        <f t="shared" si="3"/>
        <v>0</v>
      </c>
      <c r="E129" s="120">
        <f t="shared" si="2"/>
        <v>0</v>
      </c>
      <c r="F129" s="71">
        <v>1.4222222222222199E-11</v>
      </c>
      <c r="G129" s="77">
        <v>0</v>
      </c>
      <c r="H129" s="77"/>
      <c r="I129" s="70"/>
      <c r="J129" s="67"/>
      <c r="S129" s="119" t="s">
        <v>172</v>
      </c>
      <c r="T129" s="122">
        <v>2.4999999999999996E-10</v>
      </c>
    </row>
    <row r="130" spans="1:20" x14ac:dyDescent="0.3">
      <c r="A130" s="119" t="s">
        <v>174</v>
      </c>
      <c r="B130" s="49">
        <f t="shared" si="3"/>
        <v>6.8444444444444318E-10</v>
      </c>
      <c r="C130" s="122">
        <f t="shared" si="4"/>
        <v>6.16</v>
      </c>
      <c r="D130" s="120">
        <f t="shared" si="3"/>
        <v>0</v>
      </c>
      <c r="E130" s="120">
        <f t="shared" si="2"/>
        <v>0</v>
      </c>
      <c r="F130" s="71">
        <v>1.22222222222222E-11</v>
      </c>
      <c r="G130" s="77">
        <v>0.11</v>
      </c>
      <c r="H130" s="77"/>
      <c r="I130" s="70"/>
      <c r="J130" s="67"/>
      <c r="S130" s="119" t="s">
        <v>173</v>
      </c>
      <c r="T130" s="122">
        <v>2.4999999999999996E-10</v>
      </c>
    </row>
    <row r="131" spans="1:20" x14ac:dyDescent="0.3">
      <c r="A131" s="119" t="s">
        <v>175</v>
      </c>
      <c r="B131" s="49">
        <f t="shared" si="3"/>
        <v>1.0540444444444432E-9</v>
      </c>
      <c r="C131" s="122">
        <f t="shared" si="4"/>
        <v>14.56</v>
      </c>
      <c r="D131" s="120">
        <f t="shared" si="3"/>
        <v>0</v>
      </c>
      <c r="E131" s="120">
        <f t="shared" si="3"/>
        <v>0</v>
      </c>
      <c r="F131" s="71">
        <v>1.88222222222222E-11</v>
      </c>
      <c r="G131" s="77">
        <v>0.26</v>
      </c>
      <c r="H131" s="77"/>
      <c r="I131" s="70"/>
      <c r="J131" s="67"/>
      <c r="S131" s="119" t="s">
        <v>174</v>
      </c>
      <c r="T131" s="122">
        <v>2.75</v>
      </c>
    </row>
    <row r="132" spans="1:20" x14ac:dyDescent="0.3">
      <c r="A132" s="119" t="s">
        <v>176</v>
      </c>
      <c r="B132" s="49">
        <f t="shared" ref="B132:E170" si="5">F132*$L$1</f>
        <v>8.9973333333332952E-10</v>
      </c>
      <c r="C132" s="122">
        <f t="shared" ref="C132:C170" si="6">IF(G132*$L$1=0,0.00000000001*$L$1,G132*$L$1)</f>
        <v>28</v>
      </c>
      <c r="D132" s="120">
        <f t="shared" si="5"/>
        <v>0</v>
      </c>
      <c r="E132" s="120">
        <f t="shared" si="5"/>
        <v>0</v>
      </c>
      <c r="F132" s="71">
        <v>1.60666666666666E-11</v>
      </c>
      <c r="G132" s="77">
        <v>0.5</v>
      </c>
      <c r="H132" s="77"/>
      <c r="I132" s="70"/>
      <c r="J132" s="67"/>
      <c r="S132" s="119" t="s">
        <v>175</v>
      </c>
      <c r="T132" s="122">
        <v>6.5</v>
      </c>
    </row>
    <row r="133" spans="1:20" x14ac:dyDescent="0.3">
      <c r="A133" s="119" t="s">
        <v>177</v>
      </c>
      <c r="B133" s="49">
        <f t="shared" si="5"/>
        <v>6.1973333333333338</v>
      </c>
      <c r="C133" s="122">
        <f t="shared" si="6"/>
        <v>34.72</v>
      </c>
      <c r="D133" s="120">
        <f t="shared" si="5"/>
        <v>0</v>
      </c>
      <c r="E133" s="120">
        <f t="shared" si="5"/>
        <v>0</v>
      </c>
      <c r="F133" s="71">
        <v>0.11066666666666668</v>
      </c>
      <c r="G133" s="77">
        <v>0.62</v>
      </c>
      <c r="H133" s="77"/>
      <c r="I133" s="70"/>
      <c r="J133" s="67"/>
      <c r="S133" s="119" t="s">
        <v>176</v>
      </c>
      <c r="T133" s="122">
        <v>12.5</v>
      </c>
    </row>
    <row r="134" spans="1:20" x14ac:dyDescent="0.3">
      <c r="A134" s="119" t="s">
        <v>178</v>
      </c>
      <c r="B134" s="49">
        <f t="shared" si="5"/>
        <v>6.1102222222222222</v>
      </c>
      <c r="C134" s="122">
        <f t="shared" si="6"/>
        <v>42</v>
      </c>
      <c r="D134" s="120">
        <f t="shared" si="5"/>
        <v>0</v>
      </c>
      <c r="E134" s="120">
        <f t="shared" si="5"/>
        <v>0</v>
      </c>
      <c r="F134" s="71">
        <v>0.10911111111111112</v>
      </c>
      <c r="G134" s="77">
        <v>0.75</v>
      </c>
      <c r="H134" s="77"/>
      <c r="I134" s="70"/>
      <c r="J134" s="67"/>
      <c r="S134" s="119" t="s">
        <v>177</v>
      </c>
      <c r="T134" s="122">
        <v>15.5</v>
      </c>
    </row>
    <row r="135" spans="1:20" x14ac:dyDescent="0.3">
      <c r="A135" s="119" t="s">
        <v>179</v>
      </c>
      <c r="B135" s="49">
        <f t="shared" si="5"/>
        <v>8.0515555555555558</v>
      </c>
      <c r="C135" s="122">
        <f t="shared" si="6"/>
        <v>44.800000000000004</v>
      </c>
      <c r="D135" s="120">
        <f t="shared" si="5"/>
        <v>0</v>
      </c>
      <c r="E135" s="120">
        <f t="shared" si="5"/>
        <v>0</v>
      </c>
      <c r="F135" s="71">
        <v>0.14377777777777778</v>
      </c>
      <c r="G135" s="77">
        <v>0.8</v>
      </c>
      <c r="H135" s="77"/>
      <c r="I135" s="70"/>
      <c r="J135" s="67"/>
      <c r="S135" s="119" t="s">
        <v>178</v>
      </c>
      <c r="T135" s="122">
        <v>18.75</v>
      </c>
    </row>
    <row r="136" spans="1:20" x14ac:dyDescent="0.3">
      <c r="A136" s="119" t="s">
        <v>180</v>
      </c>
      <c r="B136" s="49">
        <f t="shared" si="5"/>
        <v>13.527111111111111</v>
      </c>
      <c r="C136" s="122">
        <f t="shared" si="6"/>
        <v>46.48</v>
      </c>
      <c r="D136" s="120">
        <f t="shared" si="5"/>
        <v>0</v>
      </c>
      <c r="E136" s="120">
        <f t="shared" si="5"/>
        <v>0</v>
      </c>
      <c r="F136" s="71">
        <v>0.24155555555555555</v>
      </c>
      <c r="G136" s="77">
        <v>0.83</v>
      </c>
      <c r="H136" s="77"/>
      <c r="I136" s="70"/>
      <c r="J136" s="67"/>
      <c r="S136" s="119" t="s">
        <v>179</v>
      </c>
      <c r="T136" s="122">
        <v>20</v>
      </c>
    </row>
    <row r="137" spans="1:20" x14ac:dyDescent="0.3">
      <c r="A137" s="119" t="s">
        <v>181</v>
      </c>
      <c r="B137" s="49">
        <f t="shared" si="5"/>
        <v>5.6248888888888882</v>
      </c>
      <c r="C137" s="122">
        <f t="shared" si="6"/>
        <v>40.879999999999995</v>
      </c>
      <c r="D137" s="120">
        <f t="shared" si="5"/>
        <v>0</v>
      </c>
      <c r="E137" s="120">
        <f t="shared" si="5"/>
        <v>0</v>
      </c>
      <c r="F137" s="71">
        <v>0.10044444444444443</v>
      </c>
      <c r="G137" s="77">
        <v>0.73</v>
      </c>
      <c r="H137" s="77"/>
      <c r="I137" s="70"/>
      <c r="J137" s="67"/>
      <c r="S137" s="119" t="s">
        <v>180</v>
      </c>
      <c r="T137" s="122">
        <v>20.75</v>
      </c>
    </row>
    <row r="138" spans="1:20" x14ac:dyDescent="0.3">
      <c r="A138" s="119" t="s">
        <v>182</v>
      </c>
      <c r="B138" s="49">
        <f t="shared" si="5"/>
        <v>9.4453333333333322</v>
      </c>
      <c r="C138" s="122">
        <f t="shared" si="6"/>
        <v>38.080000000000005</v>
      </c>
      <c r="D138" s="120">
        <f t="shared" si="5"/>
        <v>0</v>
      </c>
      <c r="E138" s="120">
        <f t="shared" si="5"/>
        <v>0</v>
      </c>
      <c r="F138" s="71">
        <v>0.16866666666666666</v>
      </c>
      <c r="G138" s="77">
        <v>0.68</v>
      </c>
      <c r="H138" s="77"/>
      <c r="I138" s="70"/>
      <c r="J138" s="67"/>
      <c r="S138" s="119" t="s">
        <v>181</v>
      </c>
      <c r="T138" s="122">
        <v>18.25</v>
      </c>
    </row>
    <row r="139" spans="1:20" x14ac:dyDescent="0.3">
      <c r="A139" s="119" t="s">
        <v>183</v>
      </c>
      <c r="B139" s="49">
        <f t="shared" si="5"/>
        <v>7.6657777777777276E-10</v>
      </c>
      <c r="C139" s="122">
        <f t="shared" si="6"/>
        <v>29.68</v>
      </c>
      <c r="D139" s="120">
        <f t="shared" si="5"/>
        <v>0</v>
      </c>
      <c r="E139" s="120">
        <f t="shared" si="5"/>
        <v>0</v>
      </c>
      <c r="F139" s="71">
        <v>1.36888888888888E-11</v>
      </c>
      <c r="G139" s="77">
        <v>0.53</v>
      </c>
      <c r="H139" s="77"/>
      <c r="I139" s="70"/>
      <c r="J139" s="67"/>
      <c r="S139" s="119" t="s">
        <v>182</v>
      </c>
      <c r="T139" s="122">
        <v>17</v>
      </c>
    </row>
    <row r="140" spans="1:20" x14ac:dyDescent="0.3">
      <c r="A140" s="119" t="s">
        <v>184</v>
      </c>
      <c r="B140" s="49">
        <f t="shared" si="5"/>
        <v>9.4577777777777272E-10</v>
      </c>
      <c r="C140" s="122">
        <f t="shared" si="6"/>
        <v>20.72</v>
      </c>
      <c r="D140" s="120">
        <f t="shared" si="5"/>
        <v>0</v>
      </c>
      <c r="E140" s="120">
        <f t="shared" si="5"/>
        <v>0</v>
      </c>
      <c r="F140" s="71">
        <v>1.68888888888888E-11</v>
      </c>
      <c r="G140" s="77">
        <v>0.37</v>
      </c>
      <c r="H140" s="77"/>
      <c r="I140" s="70"/>
      <c r="J140" s="67"/>
      <c r="S140" s="119" t="s">
        <v>183</v>
      </c>
      <c r="T140" s="122">
        <v>13.25</v>
      </c>
    </row>
    <row r="141" spans="1:20" x14ac:dyDescent="0.3">
      <c r="A141" s="119" t="s">
        <v>185</v>
      </c>
      <c r="B141" s="49">
        <f t="shared" si="5"/>
        <v>7.9644444444444321E-10</v>
      </c>
      <c r="C141" s="122">
        <f t="shared" si="6"/>
        <v>8.4</v>
      </c>
      <c r="D141" s="120">
        <f t="shared" si="5"/>
        <v>0</v>
      </c>
      <c r="E141" s="120">
        <f t="shared" si="5"/>
        <v>0</v>
      </c>
      <c r="F141" s="71">
        <v>1.4222222222222199E-11</v>
      </c>
      <c r="G141" s="77">
        <v>0.15</v>
      </c>
      <c r="H141" s="77"/>
      <c r="I141" s="70"/>
      <c r="J141" s="67"/>
      <c r="S141" s="119" t="s">
        <v>184</v>
      </c>
      <c r="T141" s="122">
        <v>9.25</v>
      </c>
    </row>
    <row r="142" spans="1:20" x14ac:dyDescent="0.3">
      <c r="A142" s="119" t="s">
        <v>186</v>
      </c>
      <c r="B142" s="49">
        <f t="shared" si="5"/>
        <v>7.9644444444444321E-10</v>
      </c>
      <c r="C142" s="122">
        <f t="shared" si="6"/>
        <v>5.5999999999999993E-10</v>
      </c>
      <c r="D142" s="120">
        <f t="shared" si="5"/>
        <v>0</v>
      </c>
      <c r="E142" s="120">
        <f t="shared" si="5"/>
        <v>0</v>
      </c>
      <c r="F142" s="71">
        <v>1.4222222222222199E-11</v>
      </c>
      <c r="G142" s="77">
        <v>0</v>
      </c>
      <c r="H142" s="77"/>
      <c r="I142" s="70"/>
      <c r="J142" s="67"/>
      <c r="S142" s="119" t="s">
        <v>185</v>
      </c>
      <c r="T142" s="122">
        <v>3.75</v>
      </c>
    </row>
    <row r="143" spans="1:20" x14ac:dyDescent="0.3">
      <c r="A143" s="119" t="s">
        <v>187</v>
      </c>
      <c r="B143" s="49">
        <f t="shared" si="5"/>
        <v>7.9644444444444321E-10</v>
      </c>
      <c r="C143" s="122">
        <f t="shared" si="6"/>
        <v>5.5999999999999993E-10</v>
      </c>
      <c r="D143" s="120">
        <f t="shared" si="5"/>
        <v>0</v>
      </c>
      <c r="E143" s="120">
        <f t="shared" si="5"/>
        <v>0</v>
      </c>
      <c r="F143" s="71">
        <v>1.4222222222222199E-11</v>
      </c>
      <c r="G143" s="77">
        <v>0</v>
      </c>
      <c r="H143" s="77"/>
      <c r="I143" s="70"/>
      <c r="J143" s="67"/>
      <c r="S143" s="119" t="s">
        <v>186</v>
      </c>
      <c r="T143" s="122">
        <v>2.4999999999999996E-10</v>
      </c>
    </row>
    <row r="144" spans="1:20" x14ac:dyDescent="0.3">
      <c r="A144" s="119" t="s">
        <v>188</v>
      </c>
      <c r="B144" s="49">
        <f t="shared" si="5"/>
        <v>7.9644444444444321E-10</v>
      </c>
      <c r="C144" s="122">
        <f t="shared" si="6"/>
        <v>5.5999999999999993E-10</v>
      </c>
      <c r="D144" s="120">
        <f t="shared" si="5"/>
        <v>0</v>
      </c>
      <c r="E144" s="120">
        <f t="shared" si="5"/>
        <v>0</v>
      </c>
      <c r="F144" s="71">
        <v>1.4222222222222199E-11</v>
      </c>
      <c r="G144" s="77">
        <v>0</v>
      </c>
      <c r="H144" s="77"/>
      <c r="I144" s="70"/>
      <c r="J144" s="67"/>
      <c r="S144" s="119" t="s">
        <v>187</v>
      </c>
      <c r="T144" s="122">
        <v>2.4999999999999996E-10</v>
      </c>
    </row>
    <row r="145" spans="1:20" x14ac:dyDescent="0.3">
      <c r="A145" s="119" t="s">
        <v>189</v>
      </c>
      <c r="B145" s="49">
        <f t="shared" si="5"/>
        <v>7.9644444444444321E-10</v>
      </c>
      <c r="C145" s="122">
        <f t="shared" si="6"/>
        <v>5.5999999999999993E-10</v>
      </c>
      <c r="D145" s="120">
        <f t="shared" si="5"/>
        <v>0</v>
      </c>
      <c r="E145" s="120">
        <f t="shared" si="5"/>
        <v>0</v>
      </c>
      <c r="F145" s="71">
        <v>1.4222222222222199E-11</v>
      </c>
      <c r="G145" s="77">
        <v>0</v>
      </c>
      <c r="H145" s="77"/>
      <c r="I145" s="70"/>
      <c r="J145" s="67"/>
      <c r="S145" s="119" t="s">
        <v>188</v>
      </c>
      <c r="T145" s="122">
        <v>2.4999999999999996E-10</v>
      </c>
    </row>
    <row r="146" spans="1:20" x14ac:dyDescent="0.3">
      <c r="A146" s="119" t="s">
        <v>190</v>
      </c>
      <c r="B146" s="49">
        <f t="shared" si="5"/>
        <v>7.9644444444444321E-10</v>
      </c>
      <c r="C146" s="122">
        <f t="shared" si="6"/>
        <v>5.5999999999999993E-10</v>
      </c>
      <c r="D146" s="120">
        <f t="shared" si="5"/>
        <v>0</v>
      </c>
      <c r="E146" s="120">
        <f t="shared" si="5"/>
        <v>0</v>
      </c>
      <c r="F146" s="71">
        <v>1.4222222222222199E-11</v>
      </c>
      <c r="G146" s="77">
        <v>0</v>
      </c>
      <c r="H146" s="77"/>
      <c r="I146" s="70"/>
      <c r="J146" s="67"/>
      <c r="S146" s="119" t="s">
        <v>189</v>
      </c>
      <c r="T146" s="122">
        <v>2.4999999999999996E-10</v>
      </c>
    </row>
    <row r="147" spans="1:20" x14ac:dyDescent="0.3">
      <c r="A147" s="119" t="s">
        <v>191</v>
      </c>
      <c r="B147" s="49">
        <f t="shared" si="5"/>
        <v>7.9644444444444321E-10</v>
      </c>
      <c r="C147" s="122">
        <f t="shared" si="6"/>
        <v>5.5999999999999993E-10</v>
      </c>
      <c r="D147" s="120">
        <f t="shared" si="5"/>
        <v>0</v>
      </c>
      <c r="E147" s="120">
        <f t="shared" si="5"/>
        <v>0</v>
      </c>
      <c r="F147" s="71">
        <v>1.4222222222222199E-11</v>
      </c>
      <c r="G147" s="77">
        <v>0</v>
      </c>
      <c r="H147" s="77"/>
      <c r="I147" s="70"/>
      <c r="J147" s="67"/>
      <c r="S147" s="119" t="s">
        <v>190</v>
      </c>
      <c r="T147" s="122">
        <v>2.4999999999999996E-10</v>
      </c>
    </row>
    <row r="148" spans="1:20" x14ac:dyDescent="0.3">
      <c r="A148" s="119" t="s">
        <v>192</v>
      </c>
      <c r="B148" s="49">
        <f t="shared" si="5"/>
        <v>7.9644444444444321E-10</v>
      </c>
      <c r="C148" s="122">
        <f t="shared" si="6"/>
        <v>5.5999999999999993E-10</v>
      </c>
      <c r="D148" s="120">
        <f t="shared" si="5"/>
        <v>0</v>
      </c>
      <c r="E148" s="120">
        <f t="shared" si="5"/>
        <v>0</v>
      </c>
      <c r="F148" s="71">
        <v>1.4222222222222199E-11</v>
      </c>
      <c r="G148" s="77">
        <v>0</v>
      </c>
      <c r="H148" s="77"/>
      <c r="I148" s="70"/>
      <c r="J148" s="67"/>
      <c r="S148" s="119" t="s">
        <v>191</v>
      </c>
      <c r="T148" s="122">
        <v>2.4999999999999996E-10</v>
      </c>
    </row>
    <row r="149" spans="1:20" x14ac:dyDescent="0.3">
      <c r="A149" s="119" t="s">
        <v>193</v>
      </c>
      <c r="B149" s="49">
        <f t="shared" si="5"/>
        <v>7.9644444444444321E-10</v>
      </c>
      <c r="C149" s="122">
        <f t="shared" si="6"/>
        <v>5.5999999999999993E-10</v>
      </c>
      <c r="D149" s="120">
        <f t="shared" si="5"/>
        <v>0</v>
      </c>
      <c r="E149" s="120">
        <f t="shared" si="5"/>
        <v>0</v>
      </c>
      <c r="F149" s="71">
        <v>1.4222222222222199E-11</v>
      </c>
      <c r="G149" s="77">
        <v>0</v>
      </c>
      <c r="H149" s="77"/>
      <c r="I149" s="70"/>
      <c r="J149" s="67"/>
      <c r="S149" s="119" t="s">
        <v>192</v>
      </c>
      <c r="T149" s="122">
        <v>2.4999999999999996E-10</v>
      </c>
    </row>
    <row r="150" spans="1:20" x14ac:dyDescent="0.3">
      <c r="A150" s="119" t="s">
        <v>194</v>
      </c>
      <c r="B150" s="49">
        <f t="shared" si="5"/>
        <v>7.9644444444444321E-10</v>
      </c>
      <c r="C150" s="122">
        <f t="shared" si="6"/>
        <v>5.5999999999999993E-10</v>
      </c>
      <c r="D150" s="120">
        <f t="shared" si="5"/>
        <v>0</v>
      </c>
      <c r="E150" s="120">
        <f t="shared" si="5"/>
        <v>0</v>
      </c>
      <c r="F150" s="71">
        <v>1.4222222222222199E-11</v>
      </c>
      <c r="G150" s="77">
        <v>0</v>
      </c>
      <c r="H150" s="77"/>
      <c r="I150" s="70"/>
      <c r="J150" s="67"/>
      <c r="S150" s="119" t="s">
        <v>193</v>
      </c>
      <c r="T150" s="122">
        <v>2.4999999999999996E-10</v>
      </c>
    </row>
    <row r="151" spans="1:20" x14ac:dyDescent="0.3">
      <c r="A151" s="119" t="s">
        <v>195</v>
      </c>
      <c r="B151" s="49">
        <f t="shared" si="5"/>
        <v>7.9644444444444321E-10</v>
      </c>
      <c r="C151" s="122">
        <f t="shared" si="6"/>
        <v>5.5999999999999993E-10</v>
      </c>
      <c r="D151" s="120">
        <f t="shared" si="5"/>
        <v>0</v>
      </c>
      <c r="E151" s="120">
        <f t="shared" si="5"/>
        <v>0</v>
      </c>
      <c r="F151" s="71">
        <v>1.4222222222222199E-11</v>
      </c>
      <c r="G151" s="77">
        <v>0</v>
      </c>
      <c r="H151" s="77"/>
      <c r="I151" s="70"/>
      <c r="J151" s="67"/>
      <c r="S151" s="119" t="s">
        <v>194</v>
      </c>
      <c r="T151" s="122">
        <v>2.4999999999999996E-10</v>
      </c>
    </row>
    <row r="152" spans="1:20" x14ac:dyDescent="0.3">
      <c r="A152" s="119" t="s">
        <v>196</v>
      </c>
      <c r="B152" s="49">
        <f t="shared" si="5"/>
        <v>7.9644444444444321E-10</v>
      </c>
      <c r="C152" s="122">
        <f t="shared" si="6"/>
        <v>5.5999999999999993E-10</v>
      </c>
      <c r="D152" s="120">
        <f t="shared" si="5"/>
        <v>0</v>
      </c>
      <c r="E152" s="120">
        <f t="shared" si="5"/>
        <v>0</v>
      </c>
      <c r="F152" s="71">
        <v>1.4222222222222199E-11</v>
      </c>
      <c r="G152" s="77">
        <v>0</v>
      </c>
      <c r="H152" s="77"/>
      <c r="I152" s="70"/>
      <c r="J152" s="67"/>
      <c r="S152" s="119" t="s">
        <v>195</v>
      </c>
      <c r="T152" s="122">
        <v>2.4999999999999996E-10</v>
      </c>
    </row>
    <row r="153" spans="1:20" x14ac:dyDescent="0.3">
      <c r="A153" s="119" t="s">
        <v>197</v>
      </c>
      <c r="B153" s="49">
        <f t="shared" si="5"/>
        <v>7.9644444444444321E-10</v>
      </c>
      <c r="C153" s="122">
        <f t="shared" si="6"/>
        <v>5.5999999999999993E-10</v>
      </c>
      <c r="D153" s="120">
        <f t="shared" si="5"/>
        <v>0</v>
      </c>
      <c r="E153" s="120">
        <f t="shared" si="5"/>
        <v>0</v>
      </c>
      <c r="F153" s="71">
        <v>1.4222222222222199E-11</v>
      </c>
      <c r="G153" s="77">
        <v>0</v>
      </c>
      <c r="H153" s="77"/>
      <c r="I153" s="70"/>
      <c r="J153" s="67"/>
      <c r="S153" s="119" t="s">
        <v>196</v>
      </c>
      <c r="T153" s="122">
        <v>2.4999999999999996E-10</v>
      </c>
    </row>
    <row r="154" spans="1:20" x14ac:dyDescent="0.3">
      <c r="A154" s="119" t="s">
        <v>198</v>
      </c>
      <c r="B154" s="49">
        <f t="shared" si="5"/>
        <v>6.5333333333332963E-10</v>
      </c>
      <c r="C154" s="122">
        <f t="shared" si="6"/>
        <v>5.5999999999999993E-10</v>
      </c>
      <c r="D154" s="120">
        <f t="shared" si="5"/>
        <v>0</v>
      </c>
      <c r="E154" s="120">
        <f t="shared" si="5"/>
        <v>0</v>
      </c>
      <c r="F154" s="71">
        <v>1.1666666666666601E-11</v>
      </c>
      <c r="G154" s="77">
        <v>0</v>
      </c>
      <c r="H154" s="77"/>
      <c r="I154" s="70"/>
      <c r="J154" s="67"/>
      <c r="S154" s="119" t="s">
        <v>197</v>
      </c>
      <c r="T154" s="122">
        <v>2.4999999999999996E-10</v>
      </c>
    </row>
    <row r="155" spans="1:20" x14ac:dyDescent="0.3">
      <c r="A155" s="119" t="s">
        <v>199</v>
      </c>
      <c r="B155" s="49">
        <f t="shared" si="5"/>
        <v>8.4373333333332961E-10</v>
      </c>
      <c r="C155" s="122">
        <f t="shared" si="6"/>
        <v>12.88</v>
      </c>
      <c r="D155" s="120">
        <f t="shared" si="5"/>
        <v>0</v>
      </c>
      <c r="E155" s="120">
        <f t="shared" si="5"/>
        <v>0</v>
      </c>
      <c r="F155" s="71">
        <v>1.50666666666666E-11</v>
      </c>
      <c r="G155" s="77">
        <v>0.23</v>
      </c>
      <c r="H155" s="77"/>
      <c r="I155" s="70"/>
      <c r="J155" s="67"/>
      <c r="S155" s="119" t="s">
        <v>198</v>
      </c>
      <c r="T155" s="122">
        <v>2.4999999999999996E-10</v>
      </c>
    </row>
    <row r="156" spans="1:20" x14ac:dyDescent="0.3">
      <c r="A156" s="119" t="s">
        <v>200</v>
      </c>
      <c r="B156" s="49">
        <f t="shared" si="5"/>
        <v>11.548444444444442</v>
      </c>
      <c r="C156" s="122">
        <f t="shared" si="6"/>
        <v>21.28</v>
      </c>
      <c r="D156" s="120">
        <f t="shared" si="5"/>
        <v>0</v>
      </c>
      <c r="E156" s="120">
        <f t="shared" si="5"/>
        <v>0</v>
      </c>
      <c r="F156" s="71">
        <v>0.2062222222222222</v>
      </c>
      <c r="G156" s="77">
        <v>0.38</v>
      </c>
      <c r="H156" s="77"/>
      <c r="I156" s="70"/>
      <c r="J156" s="67"/>
      <c r="S156" s="119" t="s">
        <v>199</v>
      </c>
      <c r="T156" s="122">
        <v>5.75</v>
      </c>
    </row>
    <row r="157" spans="1:20" x14ac:dyDescent="0.3">
      <c r="A157" s="119" t="s">
        <v>201</v>
      </c>
      <c r="B157" s="49">
        <f t="shared" si="5"/>
        <v>14.771555555555555</v>
      </c>
      <c r="C157" s="122">
        <f t="shared" si="6"/>
        <v>26.32</v>
      </c>
      <c r="D157" s="120">
        <f t="shared" si="5"/>
        <v>0</v>
      </c>
      <c r="E157" s="120">
        <f t="shared" si="5"/>
        <v>0</v>
      </c>
      <c r="F157" s="71">
        <v>0.26377777777777778</v>
      </c>
      <c r="G157" s="77">
        <v>0.47</v>
      </c>
      <c r="H157" s="77"/>
      <c r="I157" s="70"/>
      <c r="J157" s="67"/>
      <c r="S157" s="119" t="s">
        <v>200</v>
      </c>
      <c r="T157" s="122">
        <v>9.5</v>
      </c>
    </row>
    <row r="158" spans="1:20" x14ac:dyDescent="0.3">
      <c r="A158" s="119" t="s">
        <v>202</v>
      </c>
      <c r="B158" s="49">
        <f t="shared" si="5"/>
        <v>9.4951111111111111</v>
      </c>
      <c r="C158" s="122">
        <f t="shared" si="6"/>
        <v>32.479999999999997</v>
      </c>
      <c r="D158" s="120">
        <f t="shared" si="5"/>
        <v>0</v>
      </c>
      <c r="E158" s="120">
        <f t="shared" si="5"/>
        <v>0</v>
      </c>
      <c r="F158" s="71">
        <v>0.16955555555555554</v>
      </c>
      <c r="G158" s="77">
        <v>0.57999999999999996</v>
      </c>
      <c r="H158" s="77"/>
      <c r="I158" s="70"/>
      <c r="J158" s="67"/>
      <c r="S158" s="119" t="s">
        <v>201</v>
      </c>
      <c r="T158" s="122">
        <v>11.75</v>
      </c>
    </row>
    <row r="159" spans="1:20" x14ac:dyDescent="0.3">
      <c r="A159" s="119" t="s">
        <v>203</v>
      </c>
      <c r="B159" s="49">
        <f t="shared" si="5"/>
        <v>11.797333333333334</v>
      </c>
      <c r="C159" s="122">
        <f t="shared" si="6"/>
        <v>45.36</v>
      </c>
      <c r="D159" s="120">
        <f t="shared" si="5"/>
        <v>0</v>
      </c>
      <c r="E159" s="120">
        <f t="shared" si="5"/>
        <v>0</v>
      </c>
      <c r="F159" s="71">
        <v>0.21066666666666667</v>
      </c>
      <c r="G159" s="77">
        <v>0.81</v>
      </c>
      <c r="H159" s="77"/>
      <c r="I159" s="70"/>
      <c r="J159" s="67"/>
      <c r="S159" s="119" t="s">
        <v>202</v>
      </c>
      <c r="T159" s="122">
        <v>14.499999999999998</v>
      </c>
    </row>
    <row r="160" spans="1:20" x14ac:dyDescent="0.3">
      <c r="A160" s="119" t="s">
        <v>204</v>
      </c>
      <c r="B160" s="49">
        <f t="shared" si="5"/>
        <v>7.8648888888888893</v>
      </c>
      <c r="C160" s="122">
        <f t="shared" si="6"/>
        <v>45.919999999999995</v>
      </c>
      <c r="D160" s="120">
        <f t="shared" si="5"/>
        <v>0</v>
      </c>
      <c r="E160" s="120">
        <f t="shared" si="5"/>
        <v>0</v>
      </c>
      <c r="F160" s="71">
        <v>0.14044444444444446</v>
      </c>
      <c r="G160" s="77">
        <v>0.82</v>
      </c>
      <c r="H160" s="77"/>
      <c r="I160" s="70"/>
      <c r="J160" s="67"/>
      <c r="S160" s="119" t="s">
        <v>203</v>
      </c>
      <c r="T160" s="122">
        <v>20.25</v>
      </c>
    </row>
    <row r="161" spans="1:20" x14ac:dyDescent="0.3">
      <c r="A161" s="119" t="s">
        <v>205</v>
      </c>
      <c r="B161" s="49">
        <f t="shared" si="5"/>
        <v>10.415999999999999</v>
      </c>
      <c r="C161" s="122">
        <f t="shared" si="6"/>
        <v>38.080000000000005</v>
      </c>
      <c r="D161" s="120">
        <f t="shared" si="5"/>
        <v>0</v>
      </c>
      <c r="E161" s="120">
        <f t="shared" si="5"/>
        <v>0</v>
      </c>
      <c r="F161" s="71">
        <v>0.18599999999999997</v>
      </c>
      <c r="G161" s="77">
        <v>0.68</v>
      </c>
      <c r="H161" s="77"/>
      <c r="I161" s="70"/>
      <c r="J161" s="67"/>
      <c r="S161" s="119" t="s">
        <v>204</v>
      </c>
      <c r="T161" s="122">
        <v>20.5</v>
      </c>
    </row>
    <row r="162" spans="1:20" x14ac:dyDescent="0.3">
      <c r="A162" s="119" t="s">
        <v>206</v>
      </c>
      <c r="B162" s="49">
        <f t="shared" si="5"/>
        <v>12.792888888888887</v>
      </c>
      <c r="C162" s="122">
        <f t="shared" si="6"/>
        <v>32.479999999999997</v>
      </c>
      <c r="D162" s="120">
        <f t="shared" si="5"/>
        <v>0</v>
      </c>
      <c r="E162" s="120">
        <f t="shared" si="5"/>
        <v>0</v>
      </c>
      <c r="F162" s="71">
        <v>0.22844444444444442</v>
      </c>
      <c r="G162" s="77">
        <v>0.57999999999999996</v>
      </c>
      <c r="H162" s="77"/>
      <c r="I162" s="70"/>
      <c r="J162" s="67"/>
      <c r="S162" s="119" t="s">
        <v>205</v>
      </c>
      <c r="T162" s="122">
        <v>17</v>
      </c>
    </row>
    <row r="163" spans="1:20" x14ac:dyDescent="0.3">
      <c r="A163" s="119" t="s">
        <v>207</v>
      </c>
      <c r="B163" s="49">
        <f t="shared" si="5"/>
        <v>6.9813333333333336</v>
      </c>
      <c r="C163" s="122">
        <f t="shared" si="6"/>
        <v>27.439999999999998</v>
      </c>
      <c r="D163" s="120">
        <f t="shared" si="5"/>
        <v>0</v>
      </c>
      <c r="E163" s="120">
        <f t="shared" si="5"/>
        <v>0</v>
      </c>
      <c r="F163" s="71">
        <v>0.12466666666666668</v>
      </c>
      <c r="G163" s="77">
        <v>0.49</v>
      </c>
      <c r="H163" s="77"/>
      <c r="I163" s="70"/>
      <c r="J163" s="67"/>
      <c r="S163" s="119" t="s">
        <v>206</v>
      </c>
      <c r="T163" s="122">
        <v>14.499999999999998</v>
      </c>
    </row>
    <row r="164" spans="1:20" x14ac:dyDescent="0.3">
      <c r="A164" s="119" t="s">
        <v>208</v>
      </c>
      <c r="B164" s="49">
        <f t="shared" si="5"/>
        <v>7.8151111111110798E-10</v>
      </c>
      <c r="C164" s="122">
        <f t="shared" si="6"/>
        <v>18.48</v>
      </c>
      <c r="D164" s="120">
        <f t="shared" si="5"/>
        <v>0</v>
      </c>
      <c r="E164" s="120">
        <f t="shared" si="5"/>
        <v>0</v>
      </c>
      <c r="F164" s="71">
        <v>1.39555555555555E-11</v>
      </c>
      <c r="G164" s="77">
        <v>0.33</v>
      </c>
      <c r="H164" s="77"/>
      <c r="I164" s="70"/>
      <c r="J164" s="67"/>
      <c r="S164" s="119" t="s">
        <v>207</v>
      </c>
      <c r="T164" s="122">
        <v>12.25</v>
      </c>
    </row>
    <row r="165" spans="1:20" x14ac:dyDescent="0.3">
      <c r="A165" s="119" t="s">
        <v>209</v>
      </c>
      <c r="B165" s="49">
        <f t="shared" si="5"/>
        <v>8.337777777777729E-10</v>
      </c>
      <c r="C165" s="122">
        <f t="shared" si="6"/>
        <v>6.72</v>
      </c>
      <c r="D165" s="120">
        <f t="shared" si="5"/>
        <v>0</v>
      </c>
      <c r="E165" s="120">
        <f t="shared" si="5"/>
        <v>0</v>
      </c>
      <c r="F165" s="71">
        <v>1.4888888888888801E-11</v>
      </c>
      <c r="G165" s="77">
        <v>0.12</v>
      </c>
      <c r="H165" s="77"/>
      <c r="I165" s="70"/>
      <c r="J165" s="67"/>
      <c r="S165" s="119" t="s">
        <v>208</v>
      </c>
      <c r="T165" s="122">
        <v>8.25</v>
      </c>
    </row>
    <row r="166" spans="1:20" x14ac:dyDescent="0.3">
      <c r="A166" s="119" t="s">
        <v>210</v>
      </c>
      <c r="B166" s="49">
        <f t="shared" si="5"/>
        <v>7.9644444444444321E-10</v>
      </c>
      <c r="C166" s="122">
        <f t="shared" si="6"/>
        <v>5.5999999999999993E-10</v>
      </c>
      <c r="D166" s="120">
        <f t="shared" si="5"/>
        <v>0</v>
      </c>
      <c r="E166" s="120">
        <f t="shared" si="5"/>
        <v>0</v>
      </c>
      <c r="F166" s="71">
        <v>1.4222222222222199E-11</v>
      </c>
      <c r="G166" s="77">
        <v>0</v>
      </c>
      <c r="H166" s="77"/>
      <c r="I166" s="70"/>
      <c r="J166" s="67"/>
      <c r="S166" s="119" t="s">
        <v>209</v>
      </c>
      <c r="T166" s="122">
        <v>3</v>
      </c>
    </row>
    <row r="167" spans="1:20" x14ac:dyDescent="0.3">
      <c r="A167" s="119" t="s">
        <v>211</v>
      </c>
      <c r="B167" s="49">
        <f t="shared" si="5"/>
        <v>7.9644444444444321E-10</v>
      </c>
      <c r="C167" s="122">
        <f t="shared" si="6"/>
        <v>5.5999999999999993E-10</v>
      </c>
      <c r="D167" s="120">
        <f t="shared" si="5"/>
        <v>0</v>
      </c>
      <c r="E167" s="120">
        <f t="shared" si="5"/>
        <v>0</v>
      </c>
      <c r="F167" s="71">
        <v>1.4222222222222199E-11</v>
      </c>
      <c r="G167" s="77">
        <v>0</v>
      </c>
      <c r="H167" s="77"/>
      <c r="I167" s="70"/>
      <c r="J167" s="67"/>
      <c r="S167" s="119" t="s">
        <v>210</v>
      </c>
      <c r="T167" s="122">
        <v>2.4999999999999996E-10</v>
      </c>
    </row>
    <row r="168" spans="1:20" x14ac:dyDescent="0.3">
      <c r="A168" s="119" t="s">
        <v>212</v>
      </c>
      <c r="B168" s="49">
        <f t="shared" si="5"/>
        <v>7.9644444444444321E-10</v>
      </c>
      <c r="C168" s="122">
        <f t="shared" si="6"/>
        <v>5.5999999999999993E-10</v>
      </c>
      <c r="D168" s="120">
        <f t="shared" si="5"/>
        <v>0</v>
      </c>
      <c r="E168" s="120">
        <f t="shared" si="5"/>
        <v>0</v>
      </c>
      <c r="F168" s="71">
        <v>1.4222222222222199E-11</v>
      </c>
      <c r="G168" s="77">
        <v>0</v>
      </c>
      <c r="H168" s="77"/>
      <c r="I168" s="70"/>
      <c r="J168" s="67"/>
      <c r="S168" s="119" t="s">
        <v>211</v>
      </c>
      <c r="T168" s="122">
        <v>2.4999999999999996E-10</v>
      </c>
    </row>
    <row r="169" spans="1:20" x14ac:dyDescent="0.3">
      <c r="A169" s="119" t="s">
        <v>213</v>
      </c>
      <c r="B169" s="49">
        <f t="shared" si="5"/>
        <v>7.9644444444444321E-10</v>
      </c>
      <c r="C169" s="122">
        <f t="shared" si="6"/>
        <v>5.5999999999999993E-10</v>
      </c>
      <c r="D169" s="120">
        <f t="shared" si="5"/>
        <v>0</v>
      </c>
      <c r="E169" s="120">
        <f t="shared" si="5"/>
        <v>0</v>
      </c>
      <c r="F169" s="71">
        <v>1.4222222222222199E-11</v>
      </c>
      <c r="G169" s="77">
        <v>0</v>
      </c>
      <c r="H169" s="77"/>
      <c r="I169" s="70"/>
      <c r="J169" s="67"/>
      <c r="S169" s="119" t="s">
        <v>212</v>
      </c>
      <c r="T169" s="122">
        <v>2.4999999999999996E-10</v>
      </c>
    </row>
    <row r="170" spans="1:20" ht="15" thickBot="1" x14ac:dyDescent="0.35">
      <c r="A170" s="119" t="s">
        <v>45</v>
      </c>
      <c r="B170" s="123">
        <f t="shared" si="5"/>
        <v>7.9644444444444321E-10</v>
      </c>
      <c r="C170" s="122">
        <f t="shared" si="6"/>
        <v>5.5999999999999993E-10</v>
      </c>
      <c r="D170" s="72">
        <f t="shared" si="5"/>
        <v>0</v>
      </c>
      <c r="E170" s="72">
        <f t="shared" si="5"/>
        <v>0</v>
      </c>
      <c r="F170" s="73">
        <v>1.4222222222222199E-11</v>
      </c>
      <c r="G170" s="74">
        <v>0</v>
      </c>
      <c r="H170" s="74"/>
      <c r="I170" s="75"/>
      <c r="J170" s="67"/>
      <c r="S170" s="119" t="s">
        <v>213</v>
      </c>
      <c r="T170" s="122">
        <v>2.4999999999999996E-10</v>
      </c>
    </row>
    <row r="171" spans="1:20" s="1" customFormat="1" x14ac:dyDescent="0.3">
      <c r="S171" s="119" t="s">
        <v>45</v>
      </c>
      <c r="T171" s="122">
        <v>2.4999999999999996E-10</v>
      </c>
    </row>
    <row r="172" spans="1:20" s="1" customFormat="1" x14ac:dyDescent="0.3"/>
    <row r="173" spans="1:20" s="1" customFormat="1" x14ac:dyDescent="0.3"/>
    <row r="174" spans="1:20" s="1" customFormat="1" x14ac:dyDescent="0.3"/>
    <row r="175" spans="1:20" s="1" customFormat="1" x14ac:dyDescent="0.3"/>
    <row r="176" spans="1:20" s="1" customFormat="1" x14ac:dyDescent="0.3"/>
    <row r="177" s="1" customFormat="1" x14ac:dyDescent="0.3"/>
    <row r="178" s="1" customFormat="1" x14ac:dyDescent="0.3"/>
    <row r="179" s="1" customFormat="1" x14ac:dyDescent="0.3"/>
    <row r="180" s="1" customFormat="1" x14ac:dyDescent="0.3"/>
    <row r="181" s="1" customFormat="1" x14ac:dyDescent="0.3"/>
    <row r="182" s="1" customFormat="1" x14ac:dyDescent="0.3"/>
    <row r="183" s="1" customFormat="1" x14ac:dyDescent="0.3"/>
    <row r="184" s="1" customFormat="1" x14ac:dyDescent="0.3"/>
    <row r="185" s="1" customFormat="1" x14ac:dyDescent="0.3"/>
    <row r="186" s="1" customFormat="1" x14ac:dyDescent="0.3"/>
    <row r="187" s="1" customFormat="1" x14ac:dyDescent="0.3"/>
    <row r="188" s="1" customFormat="1" x14ac:dyDescent="0.3"/>
    <row r="189" s="1" customFormat="1" x14ac:dyDescent="0.3"/>
    <row r="190" s="1" customFormat="1" x14ac:dyDescent="0.3"/>
    <row r="191" s="1" customFormat="1" x14ac:dyDescent="0.3"/>
    <row r="192" s="1" customFormat="1" x14ac:dyDescent="0.3"/>
    <row r="193" s="1" customFormat="1" x14ac:dyDescent="0.3"/>
    <row r="194" s="1" customFormat="1" x14ac:dyDescent="0.3"/>
    <row r="195" s="1" customFormat="1" x14ac:dyDescent="0.3"/>
    <row r="196" s="1" customFormat="1" x14ac:dyDescent="0.3"/>
    <row r="197" s="1" customFormat="1" x14ac:dyDescent="0.3"/>
    <row r="198" s="1" customFormat="1" x14ac:dyDescent="0.3"/>
    <row r="199" s="1" customFormat="1" x14ac:dyDescent="0.3"/>
    <row r="200" s="1" customFormat="1" x14ac:dyDescent="0.3"/>
    <row r="201" s="1" customFormat="1" x14ac:dyDescent="0.3"/>
    <row r="202" s="1" customFormat="1" x14ac:dyDescent="0.3"/>
    <row r="203" s="1" customFormat="1" x14ac:dyDescent="0.3"/>
    <row r="204" s="1" customFormat="1" x14ac:dyDescent="0.3"/>
    <row r="205" s="1" customFormat="1" x14ac:dyDescent="0.3"/>
    <row r="206" s="1" customFormat="1" x14ac:dyDescent="0.3"/>
    <row r="207" s="1" customFormat="1" x14ac:dyDescent="0.3"/>
    <row r="208" s="1" customFormat="1" x14ac:dyDescent="0.3"/>
    <row r="209" s="1" customFormat="1" x14ac:dyDescent="0.3"/>
    <row r="210" s="1" customFormat="1" x14ac:dyDescent="0.3"/>
    <row r="211" s="1" customFormat="1" x14ac:dyDescent="0.3"/>
    <row r="212" s="1" customFormat="1" x14ac:dyDescent="0.3"/>
    <row r="213" s="1" customFormat="1" x14ac:dyDescent="0.3"/>
    <row r="214" s="1" customFormat="1" x14ac:dyDescent="0.3"/>
    <row r="215" s="1" customFormat="1" x14ac:dyDescent="0.3"/>
    <row r="216" s="1" customFormat="1" x14ac:dyDescent="0.3"/>
    <row r="217" s="1" customFormat="1" x14ac:dyDescent="0.3"/>
    <row r="218" s="1" customFormat="1" x14ac:dyDescent="0.3"/>
    <row r="219" s="1" customFormat="1" x14ac:dyDescent="0.3"/>
    <row r="220" s="1" customFormat="1" x14ac:dyDescent="0.3"/>
    <row r="221" s="1" customFormat="1" x14ac:dyDescent="0.3"/>
    <row r="222" s="1" customFormat="1" x14ac:dyDescent="0.3"/>
    <row r="223" s="1" customFormat="1" x14ac:dyDescent="0.3"/>
    <row r="224" s="1" customFormat="1" x14ac:dyDescent="0.3"/>
    <row r="225" s="1" customFormat="1" x14ac:dyDescent="0.3"/>
    <row r="226" s="1" customFormat="1" x14ac:dyDescent="0.3"/>
    <row r="227" s="1" customFormat="1" x14ac:dyDescent="0.3"/>
    <row r="228" s="1" customFormat="1" x14ac:dyDescent="0.3"/>
    <row r="229" s="1" customFormat="1" x14ac:dyDescent="0.3"/>
    <row r="230" s="1" customFormat="1" x14ac:dyDescent="0.3"/>
    <row r="231" s="1" customFormat="1" x14ac:dyDescent="0.3"/>
    <row r="232" s="1" customFormat="1" x14ac:dyDescent="0.3"/>
    <row r="233" s="1" customFormat="1" x14ac:dyDescent="0.3"/>
    <row r="234" s="1" customFormat="1" x14ac:dyDescent="0.3"/>
    <row r="235" s="1" customFormat="1" x14ac:dyDescent="0.3"/>
    <row r="236" s="1" customFormat="1" x14ac:dyDescent="0.3"/>
    <row r="237" s="1" customFormat="1" x14ac:dyDescent="0.3"/>
    <row r="238" s="1" customFormat="1" x14ac:dyDescent="0.3"/>
    <row r="239" s="1" customFormat="1" x14ac:dyDescent="0.3"/>
    <row r="240" s="1" customFormat="1" x14ac:dyDescent="0.3"/>
    <row r="241" s="1" customFormat="1" x14ac:dyDescent="0.3"/>
    <row r="242" s="1" customFormat="1" x14ac:dyDescent="0.3"/>
    <row r="243" s="1" customFormat="1" x14ac:dyDescent="0.3"/>
    <row r="244" s="1" customFormat="1" x14ac:dyDescent="0.3"/>
    <row r="245" s="1" customFormat="1" x14ac:dyDescent="0.3"/>
    <row r="246" s="1" customFormat="1" x14ac:dyDescent="0.3"/>
    <row r="247" s="1" customFormat="1" x14ac:dyDescent="0.3"/>
    <row r="248" s="1" customFormat="1" x14ac:dyDescent="0.3"/>
    <row r="249" s="1" customFormat="1" x14ac:dyDescent="0.3"/>
    <row r="250" s="1" customFormat="1" x14ac:dyDescent="0.3"/>
    <row r="251" s="1" customFormat="1" x14ac:dyDescent="0.3"/>
    <row r="252" s="1" customFormat="1" x14ac:dyDescent="0.3"/>
    <row r="253" s="1" customFormat="1" x14ac:dyDescent="0.3"/>
    <row r="254" s="1" customFormat="1" x14ac:dyDescent="0.3"/>
    <row r="255" s="1" customFormat="1" x14ac:dyDescent="0.3"/>
    <row r="256" s="1" customFormat="1" x14ac:dyDescent="0.3"/>
    <row r="257" s="1" customFormat="1" x14ac:dyDescent="0.3"/>
    <row r="258" s="1" customFormat="1" x14ac:dyDescent="0.3"/>
    <row r="259" s="1" customFormat="1" x14ac:dyDescent="0.3"/>
    <row r="260" s="1" customFormat="1" x14ac:dyDescent="0.3"/>
    <row r="261" s="1" customFormat="1" x14ac:dyDescent="0.3"/>
    <row r="262" s="1" customFormat="1" x14ac:dyDescent="0.3"/>
    <row r="263" s="1" customFormat="1" x14ac:dyDescent="0.3"/>
    <row r="264" s="1" customFormat="1" x14ac:dyDescent="0.3"/>
    <row r="265" s="1" customFormat="1" x14ac:dyDescent="0.3"/>
    <row r="266" s="1" customFormat="1" x14ac:dyDescent="0.3"/>
    <row r="267" s="1" customFormat="1" x14ac:dyDescent="0.3"/>
    <row r="268" s="1" customFormat="1" x14ac:dyDescent="0.3"/>
    <row r="269" s="1" customFormat="1" x14ac:dyDescent="0.3"/>
    <row r="270" s="1" customFormat="1" x14ac:dyDescent="0.3"/>
    <row r="271" s="1" customFormat="1" x14ac:dyDescent="0.3"/>
    <row r="272" s="1" customFormat="1" x14ac:dyDescent="0.3"/>
    <row r="273" s="1" customFormat="1" x14ac:dyDescent="0.3"/>
    <row r="274" s="1" customFormat="1" x14ac:dyDescent="0.3"/>
    <row r="275" s="1" customFormat="1" x14ac:dyDescent="0.3"/>
    <row r="276" s="1" customFormat="1" x14ac:dyDescent="0.3"/>
    <row r="277" s="1" customFormat="1" x14ac:dyDescent="0.3"/>
    <row r="278" s="1" customFormat="1" x14ac:dyDescent="0.3"/>
    <row r="279" s="1" customFormat="1" x14ac:dyDescent="0.3"/>
    <row r="280" s="1" customFormat="1" x14ac:dyDescent="0.3"/>
    <row r="281" s="1" customFormat="1" x14ac:dyDescent="0.3"/>
    <row r="282" s="1" customFormat="1" x14ac:dyDescent="0.3"/>
    <row r="283" s="1" customFormat="1" x14ac:dyDescent="0.3"/>
    <row r="284" s="1" customFormat="1" x14ac:dyDescent="0.3"/>
    <row r="285" s="1" customFormat="1" x14ac:dyDescent="0.3"/>
    <row r="286" s="1" customFormat="1" x14ac:dyDescent="0.3"/>
    <row r="287" s="1" customFormat="1" x14ac:dyDescent="0.3"/>
    <row r="288" s="1" customFormat="1" x14ac:dyDescent="0.3"/>
    <row r="289" s="1" customFormat="1" x14ac:dyDescent="0.3"/>
    <row r="290" s="1" customFormat="1" x14ac:dyDescent="0.3"/>
    <row r="291" s="1" customFormat="1" x14ac:dyDescent="0.3"/>
    <row r="292" s="1" customFormat="1" x14ac:dyDescent="0.3"/>
    <row r="293" s="1" customFormat="1" x14ac:dyDescent="0.3"/>
    <row r="294" s="1" customFormat="1" x14ac:dyDescent="0.3"/>
    <row r="295" s="1" customFormat="1" x14ac:dyDescent="0.3"/>
    <row r="296" s="1" customFormat="1" x14ac:dyDescent="0.3"/>
    <row r="297" s="1" customFormat="1" x14ac:dyDescent="0.3"/>
    <row r="298" s="1" customFormat="1" x14ac:dyDescent="0.3"/>
    <row r="299" s="1" customFormat="1" x14ac:dyDescent="0.3"/>
    <row r="300" s="1" customFormat="1" x14ac:dyDescent="0.3"/>
    <row r="301" s="1" customFormat="1" x14ac:dyDescent="0.3"/>
    <row r="302" s="1" customFormat="1" x14ac:dyDescent="0.3"/>
    <row r="303" s="1" customFormat="1" x14ac:dyDescent="0.3"/>
    <row r="304" s="1" customFormat="1" x14ac:dyDescent="0.3"/>
    <row r="305" s="1" customFormat="1" x14ac:dyDescent="0.3"/>
    <row r="306" s="1" customFormat="1" x14ac:dyDescent="0.3"/>
    <row r="307" s="1" customFormat="1" x14ac:dyDescent="0.3"/>
    <row r="308" s="1" customFormat="1" x14ac:dyDescent="0.3"/>
    <row r="309" s="1" customFormat="1" x14ac:dyDescent="0.3"/>
    <row r="310" s="1" customFormat="1" x14ac:dyDescent="0.3"/>
    <row r="311" s="1" customFormat="1" x14ac:dyDescent="0.3"/>
    <row r="312" s="1" customFormat="1" x14ac:dyDescent="0.3"/>
    <row r="313" s="1" customFormat="1" x14ac:dyDescent="0.3"/>
    <row r="314" s="1" customFormat="1" x14ac:dyDescent="0.3"/>
    <row r="315" s="1" customFormat="1" x14ac:dyDescent="0.3"/>
    <row r="316" s="1" customFormat="1" x14ac:dyDescent="0.3"/>
    <row r="317" s="1" customFormat="1" x14ac:dyDescent="0.3"/>
    <row r="318" s="1" customFormat="1" x14ac:dyDescent="0.3"/>
    <row r="319" s="1" customFormat="1" x14ac:dyDescent="0.3"/>
    <row r="320" s="1" customFormat="1" x14ac:dyDescent="0.3"/>
    <row r="321" s="1" customFormat="1" x14ac:dyDescent="0.3"/>
    <row r="322" s="1" customFormat="1" x14ac:dyDescent="0.3"/>
    <row r="323" s="1" customFormat="1" x14ac:dyDescent="0.3"/>
    <row r="324" s="1" customFormat="1" x14ac:dyDescent="0.3"/>
    <row r="325" s="1" customFormat="1" x14ac:dyDescent="0.3"/>
    <row r="326" s="1" customFormat="1" x14ac:dyDescent="0.3"/>
    <row r="327" s="1" customFormat="1" x14ac:dyDescent="0.3"/>
    <row r="328" s="1" customFormat="1" x14ac:dyDescent="0.3"/>
    <row r="329" s="1" customFormat="1" x14ac:dyDescent="0.3"/>
    <row r="330" s="1" customFormat="1" x14ac:dyDescent="0.3"/>
    <row r="331" s="1" customFormat="1" x14ac:dyDescent="0.3"/>
    <row r="332" s="1" customFormat="1" x14ac:dyDescent="0.3"/>
    <row r="333" s="1" customFormat="1" x14ac:dyDescent="0.3"/>
    <row r="334" s="1" customFormat="1" x14ac:dyDescent="0.3"/>
    <row r="335" s="1" customFormat="1" x14ac:dyDescent="0.3"/>
    <row r="336" s="1" customFormat="1" x14ac:dyDescent="0.3"/>
    <row r="337" s="1" customFormat="1" x14ac:dyDescent="0.3"/>
    <row r="338" s="1" customFormat="1" x14ac:dyDescent="0.3"/>
    <row r="339" s="1" customFormat="1" x14ac:dyDescent="0.3"/>
    <row r="340" s="1" customFormat="1" x14ac:dyDescent="0.3"/>
    <row r="341" s="1" customFormat="1" x14ac:dyDescent="0.3"/>
    <row r="342" s="1" customFormat="1" x14ac:dyDescent="0.3"/>
    <row r="343" s="1" customFormat="1" x14ac:dyDescent="0.3"/>
    <row r="344" s="1" customFormat="1" x14ac:dyDescent="0.3"/>
    <row r="345" s="1" customFormat="1" x14ac:dyDescent="0.3"/>
    <row r="346" s="1" customFormat="1" x14ac:dyDescent="0.3"/>
    <row r="347" s="1" customFormat="1" x14ac:dyDescent="0.3"/>
    <row r="348" s="1" customFormat="1" x14ac:dyDescent="0.3"/>
    <row r="349" s="1" customFormat="1" x14ac:dyDescent="0.3"/>
    <row r="350" s="1" customFormat="1" x14ac:dyDescent="0.3"/>
    <row r="351" s="1" customFormat="1" x14ac:dyDescent="0.3"/>
    <row r="352" s="1" customFormat="1" x14ac:dyDescent="0.3"/>
    <row r="353" s="1" customFormat="1" x14ac:dyDescent="0.3"/>
    <row r="354" s="1" customFormat="1" x14ac:dyDescent="0.3"/>
    <row r="355" s="1" customFormat="1" x14ac:dyDescent="0.3"/>
    <row r="356" s="1" customFormat="1" x14ac:dyDescent="0.3"/>
    <row r="357" s="1" customFormat="1" x14ac:dyDescent="0.3"/>
    <row r="358" s="1" customFormat="1" x14ac:dyDescent="0.3"/>
    <row r="359" s="1" customFormat="1" x14ac:dyDescent="0.3"/>
    <row r="360" s="1" customFormat="1" x14ac:dyDescent="0.3"/>
    <row r="361" s="1" customFormat="1" x14ac:dyDescent="0.3"/>
    <row r="362" s="1" customFormat="1" x14ac:dyDescent="0.3"/>
    <row r="363" s="1" customFormat="1" x14ac:dyDescent="0.3"/>
    <row r="364" s="1" customFormat="1" x14ac:dyDescent="0.3"/>
    <row r="365" s="1" customFormat="1" x14ac:dyDescent="0.3"/>
    <row r="366" s="1" customFormat="1" x14ac:dyDescent="0.3"/>
    <row r="367" s="1" customFormat="1" x14ac:dyDescent="0.3"/>
    <row r="368" s="1" customFormat="1" x14ac:dyDescent="0.3"/>
    <row r="369" s="1" customFormat="1" x14ac:dyDescent="0.3"/>
    <row r="370" s="1" customFormat="1" x14ac:dyDescent="0.3"/>
    <row r="371" s="1" customFormat="1" x14ac:dyDescent="0.3"/>
    <row r="372" s="1" customFormat="1" x14ac:dyDescent="0.3"/>
    <row r="373" s="1" customFormat="1" x14ac:dyDescent="0.3"/>
    <row r="374" s="1" customFormat="1" x14ac:dyDescent="0.3"/>
    <row r="375" s="1" customFormat="1" x14ac:dyDescent="0.3"/>
    <row r="376" s="1" customFormat="1" x14ac:dyDescent="0.3"/>
    <row r="377" s="1" customFormat="1" x14ac:dyDescent="0.3"/>
    <row r="378" s="1" customFormat="1" x14ac:dyDescent="0.3"/>
    <row r="379" s="1" customFormat="1" x14ac:dyDescent="0.3"/>
  </sheetData>
  <mergeCells count="8">
    <mergeCell ref="L7:P7"/>
    <mergeCell ref="L8:P8"/>
    <mergeCell ref="B1:E1"/>
    <mergeCell ref="F1:I1"/>
    <mergeCell ref="K3:P3"/>
    <mergeCell ref="L4:P4"/>
    <mergeCell ref="L5:P5"/>
    <mergeCell ref="L6:P6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BC421-A1B9-41A1-84EA-30DEA9972F35}">
  <sheetPr codeName="Sheet5"/>
  <dimension ref="A1:AM339"/>
  <sheetViews>
    <sheetView workbookViewId="0">
      <selection activeCell="A2" sqref="A2:B170"/>
    </sheetView>
  </sheetViews>
  <sheetFormatPr defaultColWidth="11.5546875" defaultRowHeight="14.4" x14ac:dyDescent="0.3"/>
  <cols>
    <col min="1" max="2" width="19.5546875" customWidth="1"/>
    <col min="6" max="13" width="11.5546875" style="1"/>
    <col min="15" max="39" width="11.5546875" style="1"/>
  </cols>
  <sheetData>
    <row r="1" spans="1:17" ht="15.6" x14ac:dyDescent="0.3">
      <c r="A1" s="30" t="s">
        <v>223</v>
      </c>
      <c r="B1" s="30"/>
      <c r="C1" s="144" t="s">
        <v>40</v>
      </c>
      <c r="D1" s="145" t="s">
        <v>40</v>
      </c>
      <c r="E1" s="146" t="s">
        <v>40</v>
      </c>
      <c r="N1" s="1"/>
      <c r="Q1" s="136" t="s">
        <v>343</v>
      </c>
    </row>
    <row r="2" spans="1:17" ht="15" thickBot="1" x14ac:dyDescent="0.35">
      <c r="A2" s="29" t="s">
        <v>39</v>
      </c>
      <c r="B2" s="29" t="s">
        <v>41</v>
      </c>
      <c r="C2" s="25" t="s">
        <v>41</v>
      </c>
      <c r="D2" s="26" t="s">
        <v>42</v>
      </c>
      <c r="E2" s="27" t="s">
        <v>43</v>
      </c>
      <c r="F2" s="1" t="s">
        <v>238</v>
      </c>
      <c r="N2" s="25" t="s">
        <v>41</v>
      </c>
      <c r="Q2" s="25" t="s">
        <v>345</v>
      </c>
    </row>
    <row r="3" spans="1:17" x14ac:dyDescent="0.3">
      <c r="A3" s="15" t="s">
        <v>44</v>
      </c>
      <c r="B3" s="78">
        <v>1.614392816115066</v>
      </c>
      <c r="C3" s="33">
        <v>2.4027701264460264</v>
      </c>
      <c r="D3" s="34">
        <v>3.3405</v>
      </c>
      <c r="E3" s="35">
        <v>3.74</v>
      </c>
      <c r="F3" s="60">
        <f>C3+2</f>
        <v>4.4027701264460264</v>
      </c>
      <c r="G3" s="147" t="s">
        <v>222</v>
      </c>
      <c r="H3" s="148"/>
      <c r="I3" s="148"/>
      <c r="J3" s="148"/>
      <c r="K3" s="148"/>
      <c r="L3" s="149"/>
      <c r="N3" s="33">
        <v>3.4169999999999994</v>
      </c>
      <c r="Q3" s="33">
        <v>1.614392816115066</v>
      </c>
    </row>
    <row r="4" spans="1:17" x14ac:dyDescent="0.3">
      <c r="A4" s="15" t="s">
        <v>48</v>
      </c>
      <c r="B4" s="78">
        <v>0.83100805085865259</v>
      </c>
      <c r="C4" s="33">
        <v>1.5926498203434609</v>
      </c>
      <c r="D4" s="34">
        <v>3.4935</v>
      </c>
      <c r="E4" s="35">
        <v>3.7229999999999999</v>
      </c>
      <c r="F4" s="60">
        <f t="shared" ref="F4:F67" si="0">C4+2</f>
        <v>3.5926498203434609</v>
      </c>
      <c r="G4" s="25" t="s">
        <v>41</v>
      </c>
      <c r="H4" s="152" t="s">
        <v>224</v>
      </c>
      <c r="I4" s="152"/>
      <c r="J4" s="152"/>
      <c r="K4" s="152"/>
      <c r="L4" s="151"/>
      <c r="M4" s="66">
        <v>2.4027701264460264</v>
      </c>
      <c r="N4" s="33">
        <v>3.3745000000000003</v>
      </c>
      <c r="Q4" s="33">
        <v>0.83100805085865259</v>
      </c>
    </row>
    <row r="5" spans="1:17" x14ac:dyDescent="0.3">
      <c r="A5" s="15" t="s">
        <v>49</v>
      </c>
      <c r="B5" s="78">
        <v>1.22356550990753</v>
      </c>
      <c r="C5" s="33">
        <v>2.3449970039630119</v>
      </c>
      <c r="D5" s="34">
        <v>3.3745000000000003</v>
      </c>
      <c r="E5" s="35">
        <v>3.7825000000000002</v>
      </c>
      <c r="F5" s="60">
        <f t="shared" si="0"/>
        <v>4.3449970039630124</v>
      </c>
      <c r="G5" s="25" t="s">
        <v>42</v>
      </c>
      <c r="H5" s="152" t="s">
        <v>224</v>
      </c>
      <c r="I5" s="152"/>
      <c r="J5" s="152"/>
      <c r="K5" s="152"/>
      <c r="L5" s="151"/>
      <c r="M5" s="66">
        <v>1.5926498203434609</v>
      </c>
      <c r="N5" s="33">
        <v>3.2555000000000001</v>
      </c>
      <c r="Q5" s="33">
        <v>1.22356550990753</v>
      </c>
    </row>
    <row r="6" spans="1:17" ht="15" thickBot="1" x14ac:dyDescent="0.35">
      <c r="A6" s="15" t="s">
        <v>50</v>
      </c>
      <c r="B6" s="78">
        <v>1.5019703779521836</v>
      </c>
      <c r="C6" s="33">
        <v>2.8855947511808733</v>
      </c>
      <c r="D6" s="34">
        <v>3.3745000000000003</v>
      </c>
      <c r="E6" s="35">
        <v>3.4255</v>
      </c>
      <c r="F6" s="60">
        <f t="shared" si="0"/>
        <v>4.8855947511808733</v>
      </c>
      <c r="G6" s="32" t="s">
        <v>43</v>
      </c>
      <c r="H6" s="141" t="s">
        <v>224</v>
      </c>
      <c r="I6" s="141"/>
      <c r="J6" s="141"/>
      <c r="K6" s="141"/>
      <c r="L6" s="142"/>
      <c r="M6" s="66">
        <v>2.3449970039630119</v>
      </c>
      <c r="N6" s="33">
        <v>3.3915000000000002</v>
      </c>
      <c r="Q6" s="33">
        <v>1.5019703779521836</v>
      </c>
    </row>
    <row r="7" spans="1:17" x14ac:dyDescent="0.3">
      <c r="A7" s="15" t="s">
        <v>51</v>
      </c>
      <c r="B7" s="78">
        <v>1.5082168685415303</v>
      </c>
      <c r="C7" s="33">
        <v>2.897595547416612</v>
      </c>
      <c r="D7" s="34">
        <v>3.5529999999999995</v>
      </c>
      <c r="E7" s="35">
        <v>3.9695</v>
      </c>
      <c r="F7" s="60">
        <f t="shared" si="0"/>
        <v>4.8975955474166124</v>
      </c>
      <c r="M7" s="66">
        <v>2.8855947511808733</v>
      </c>
      <c r="N7" s="33">
        <v>3.4</v>
      </c>
      <c r="Q7" s="33">
        <v>1.5082168685415303</v>
      </c>
    </row>
    <row r="8" spans="1:17" x14ac:dyDescent="0.3">
      <c r="A8" s="15" t="s">
        <v>52</v>
      </c>
      <c r="B8" s="78">
        <v>1.4587169260237784</v>
      </c>
      <c r="C8" s="33">
        <v>2.7956711704095114</v>
      </c>
      <c r="D8" s="34">
        <v>4.3094999999999999</v>
      </c>
      <c r="E8" s="35">
        <v>5.4314999999999998</v>
      </c>
      <c r="F8" s="60">
        <f t="shared" si="0"/>
        <v>4.795671170409511</v>
      </c>
      <c r="M8" s="66">
        <v>2.897595547416612</v>
      </c>
      <c r="N8" s="33">
        <v>4.1989999999999998</v>
      </c>
      <c r="Q8" s="33">
        <v>1.4587169260237784</v>
      </c>
    </row>
    <row r="9" spans="1:17" x14ac:dyDescent="0.3">
      <c r="A9" s="15" t="s">
        <v>53</v>
      </c>
      <c r="B9" s="78">
        <v>1.07927851651255</v>
      </c>
      <c r="C9" s="33">
        <v>2.0684670066050201</v>
      </c>
      <c r="D9" s="34">
        <v>5.5419999999999998</v>
      </c>
      <c r="E9" s="35">
        <v>5.8564999999999996</v>
      </c>
      <c r="F9" s="60">
        <f t="shared" si="0"/>
        <v>4.0684670066050206</v>
      </c>
      <c r="M9" s="66">
        <v>2.7956711704095114</v>
      </c>
      <c r="N9" s="33">
        <v>4.9215</v>
      </c>
      <c r="Q9" s="33">
        <v>1.07927851651255</v>
      </c>
    </row>
    <row r="10" spans="1:17" x14ac:dyDescent="0.3">
      <c r="A10" s="15" t="s">
        <v>54</v>
      </c>
      <c r="B10" s="78">
        <v>0.75999953269511622</v>
      </c>
      <c r="C10" s="33">
        <v>1.7117438130780465</v>
      </c>
      <c r="D10" s="34">
        <v>4.6479999999999997</v>
      </c>
      <c r="E10" s="35">
        <v>5.032</v>
      </c>
      <c r="F10" s="60">
        <f t="shared" si="0"/>
        <v>3.7117438130780465</v>
      </c>
      <c r="M10" s="66">
        <v>2.0684670066050201</v>
      </c>
      <c r="N10" s="33">
        <v>4.4320000000000004</v>
      </c>
      <c r="Q10" s="33">
        <v>0.75999953269511622</v>
      </c>
    </row>
    <row r="11" spans="1:17" x14ac:dyDescent="0.3">
      <c r="A11" s="15" t="s">
        <v>55</v>
      </c>
      <c r="B11" s="78">
        <v>0.75312136928694551</v>
      </c>
      <c r="C11" s="33">
        <v>1.7076881477147783</v>
      </c>
      <c r="D11" s="34">
        <v>5.0560000000000009</v>
      </c>
      <c r="E11" s="35">
        <v>5.4320000000000004</v>
      </c>
      <c r="F11" s="60">
        <f t="shared" si="0"/>
        <v>3.7076881477147783</v>
      </c>
      <c r="M11" s="66">
        <v>1.7117438130780465</v>
      </c>
      <c r="N11" s="33">
        <v>4.8960000000000008</v>
      </c>
      <c r="Q11" s="33">
        <v>0.75312136928694551</v>
      </c>
    </row>
    <row r="12" spans="1:17" x14ac:dyDescent="0.3">
      <c r="A12" s="15" t="s">
        <v>56</v>
      </c>
      <c r="B12" s="78">
        <v>1.9952462858051536</v>
      </c>
      <c r="C12" s="33">
        <v>1.9952462858051536</v>
      </c>
      <c r="D12" s="34">
        <v>4.3119999999999994</v>
      </c>
      <c r="E12" s="35">
        <v>4.6269999999999998</v>
      </c>
      <c r="F12" s="60">
        <f t="shared" si="0"/>
        <v>3.9952462858051536</v>
      </c>
      <c r="M12" s="66">
        <v>1.7076881477147783</v>
      </c>
      <c r="N12" s="33">
        <v>4.5990000000000002</v>
      </c>
      <c r="Q12" s="33">
        <v>1.9952462858051536</v>
      </c>
    </row>
    <row r="13" spans="1:17" x14ac:dyDescent="0.3">
      <c r="A13" s="15" t="s">
        <v>57</v>
      </c>
      <c r="B13" s="78">
        <v>3.1424649408298011</v>
      </c>
      <c r="C13" s="33">
        <v>3.1424649408298011</v>
      </c>
      <c r="D13" s="34">
        <v>2.875</v>
      </c>
      <c r="E13" s="35">
        <v>2.9849999999999999</v>
      </c>
      <c r="F13" s="60">
        <f t="shared" si="0"/>
        <v>5.1424649408298011</v>
      </c>
      <c r="M13" s="66">
        <v>1.9952462858051536</v>
      </c>
      <c r="N13" s="33">
        <v>2.9550000000000001</v>
      </c>
      <c r="Q13" s="33">
        <v>3.1424649408298011</v>
      </c>
    </row>
    <row r="14" spans="1:17" x14ac:dyDescent="0.3">
      <c r="A14" s="15" t="s">
        <v>58</v>
      </c>
      <c r="B14" s="78">
        <v>4.0748848915081695</v>
      </c>
      <c r="C14" s="33">
        <v>4.0748848915081695</v>
      </c>
      <c r="D14" s="34">
        <v>2.855</v>
      </c>
      <c r="E14" s="35">
        <v>3.2250000000000001</v>
      </c>
      <c r="F14" s="60">
        <f t="shared" si="0"/>
        <v>6.0748848915081695</v>
      </c>
      <c r="M14" s="66">
        <v>3.1424649408298011</v>
      </c>
      <c r="N14" s="33">
        <v>2.74</v>
      </c>
      <c r="Q14" s="33">
        <v>4.0748848915081695</v>
      </c>
    </row>
    <row r="15" spans="1:17" x14ac:dyDescent="0.3">
      <c r="A15" s="15" t="s">
        <v>59</v>
      </c>
      <c r="B15" s="78">
        <v>3.9128565952620962</v>
      </c>
      <c r="C15" s="33">
        <v>3.9128565952620962</v>
      </c>
      <c r="D15" s="34">
        <v>2.2014999999999998</v>
      </c>
      <c r="E15" s="35">
        <v>2.3064999999999998</v>
      </c>
      <c r="F15" s="60">
        <f t="shared" si="0"/>
        <v>5.9128565952620962</v>
      </c>
      <c r="M15" s="66">
        <v>4.0748848915081695</v>
      </c>
      <c r="N15" s="33">
        <v>2.2469999999999999</v>
      </c>
      <c r="Q15" s="33">
        <v>3.9128565952620962</v>
      </c>
    </row>
    <row r="16" spans="1:17" x14ac:dyDescent="0.3">
      <c r="A16" s="15" t="s">
        <v>60</v>
      </c>
      <c r="B16" s="78">
        <v>6.0164424033930253</v>
      </c>
      <c r="C16" s="33">
        <v>6.0164424033930253</v>
      </c>
      <c r="D16" s="34">
        <v>2.548</v>
      </c>
      <c r="E16" s="35">
        <v>2.9154999999999998</v>
      </c>
      <c r="F16" s="60">
        <f t="shared" si="0"/>
        <v>8.0164424033930253</v>
      </c>
      <c r="M16" s="66">
        <v>3.9128565952620962</v>
      </c>
      <c r="N16" s="33">
        <v>2.7404999999999999</v>
      </c>
      <c r="Q16" s="33">
        <v>6.0164424033930253</v>
      </c>
    </row>
    <row r="17" spans="1:17" x14ac:dyDescent="0.3">
      <c r="A17" s="15" t="s">
        <v>61</v>
      </c>
      <c r="B17" s="78">
        <v>5.7292090581039909</v>
      </c>
      <c r="C17" s="33">
        <v>5.7292090581039909</v>
      </c>
      <c r="D17" s="34">
        <v>2.1069999999999998</v>
      </c>
      <c r="E17" s="35">
        <v>2.6040000000000001</v>
      </c>
      <c r="F17" s="60">
        <f t="shared" si="0"/>
        <v>7.7292090581039909</v>
      </c>
      <c r="M17" s="66">
        <v>6.0164424033930253</v>
      </c>
      <c r="N17" s="33">
        <v>2.4254999999999995</v>
      </c>
      <c r="Q17" s="33">
        <v>5.7292090581039909</v>
      </c>
    </row>
    <row r="18" spans="1:17" x14ac:dyDescent="0.3">
      <c r="A18" s="15" t="s">
        <v>62</v>
      </c>
      <c r="B18" s="78">
        <v>2.0408053941791024</v>
      </c>
      <c r="C18" s="33">
        <v>2.0408053941791024</v>
      </c>
      <c r="D18" s="34">
        <v>3.2149999999999999</v>
      </c>
      <c r="E18" s="35">
        <v>3.5649999999999999</v>
      </c>
      <c r="F18" s="60">
        <f t="shared" si="0"/>
        <v>4.0408053941791024</v>
      </c>
      <c r="M18" s="66">
        <v>5.7292090581039909</v>
      </c>
      <c r="N18" s="33">
        <v>3.2149999999999999</v>
      </c>
      <c r="Q18" s="33">
        <v>2.0408053941791024</v>
      </c>
    </row>
    <row r="19" spans="1:17" x14ac:dyDescent="0.3">
      <c r="A19" s="15" t="s">
        <v>63</v>
      </c>
      <c r="B19" s="78">
        <v>3.4979127290777008</v>
      </c>
      <c r="C19" s="33">
        <v>3.4979127290777008</v>
      </c>
      <c r="D19" s="34">
        <v>2.6549999999999998</v>
      </c>
      <c r="E19" s="35">
        <v>3.1349999999999998</v>
      </c>
      <c r="F19" s="60">
        <f t="shared" si="0"/>
        <v>5.4979127290777008</v>
      </c>
      <c r="M19" s="66">
        <v>2.0408053941791024</v>
      </c>
      <c r="N19" s="33">
        <v>2.67</v>
      </c>
      <c r="Q19" s="33">
        <v>3.4979127290777008</v>
      </c>
    </row>
    <row r="20" spans="1:17" x14ac:dyDescent="0.3">
      <c r="A20" s="15" t="s">
        <v>64</v>
      </c>
      <c r="B20" s="78">
        <v>3.2497241509305681</v>
      </c>
      <c r="C20" s="33">
        <v>3.2497241509305681</v>
      </c>
      <c r="D20" s="34">
        <v>5.1599999999999993</v>
      </c>
      <c r="E20" s="35">
        <v>5.31</v>
      </c>
      <c r="F20" s="60">
        <f t="shared" si="0"/>
        <v>5.2497241509305681</v>
      </c>
      <c r="M20" s="66">
        <v>3.4979127290777008</v>
      </c>
      <c r="N20" s="33">
        <v>5.58</v>
      </c>
      <c r="Q20" s="33">
        <v>3.2497241509305681</v>
      </c>
    </row>
    <row r="21" spans="1:17" x14ac:dyDescent="0.3">
      <c r="A21" s="15" t="s">
        <v>65</v>
      </c>
      <c r="B21" s="78">
        <v>5.1886365960161527</v>
      </c>
      <c r="C21" s="33">
        <v>7.1175870384064606</v>
      </c>
      <c r="D21" s="34">
        <v>6.1920000000000002</v>
      </c>
      <c r="E21" s="35">
        <v>7.5360000000000005</v>
      </c>
      <c r="F21" s="60">
        <f t="shared" si="0"/>
        <v>9.1175870384064606</v>
      </c>
      <c r="M21" s="66">
        <v>3.2497241509305681</v>
      </c>
      <c r="N21" s="33">
        <v>6.8000000000000007</v>
      </c>
      <c r="Q21" s="33">
        <v>5.1886365960161527</v>
      </c>
    </row>
    <row r="22" spans="1:17" x14ac:dyDescent="0.3">
      <c r="A22" s="15" t="s">
        <v>66</v>
      </c>
      <c r="B22" s="78">
        <v>2.4518311785534861</v>
      </c>
      <c r="C22" s="33">
        <v>3.9876642714213943</v>
      </c>
      <c r="D22" s="34">
        <v>6.3280000000000003</v>
      </c>
      <c r="E22" s="35">
        <v>7.0640000000000001</v>
      </c>
      <c r="F22" s="60">
        <f t="shared" si="0"/>
        <v>5.9876642714213943</v>
      </c>
      <c r="M22" s="66">
        <v>7.1175870384064606</v>
      </c>
      <c r="N22" s="33">
        <v>6.9680000000000009</v>
      </c>
      <c r="Q22" s="33">
        <v>2.4518311785534861</v>
      </c>
    </row>
    <row r="23" spans="1:17" x14ac:dyDescent="0.3">
      <c r="A23" s="15" t="s">
        <v>67</v>
      </c>
      <c r="B23" s="78">
        <v>10.366960787592427</v>
      </c>
      <c r="C23" s="33">
        <v>12.025924315036971</v>
      </c>
      <c r="D23" s="34">
        <v>4.7770000000000001</v>
      </c>
      <c r="E23" s="35">
        <v>5.0065</v>
      </c>
      <c r="F23" s="60">
        <f t="shared" si="0"/>
        <v>14.025924315036971</v>
      </c>
      <c r="M23" s="66">
        <v>3.9876642714213943</v>
      </c>
      <c r="N23" s="33">
        <v>4.59</v>
      </c>
      <c r="Q23" s="33">
        <v>10.366960787592427</v>
      </c>
    </row>
    <row r="24" spans="1:17" x14ac:dyDescent="0.3">
      <c r="A24" s="15" t="s">
        <v>68</v>
      </c>
      <c r="B24" s="78">
        <v>11.445768528947536</v>
      </c>
      <c r="C24" s="33">
        <v>12.604999411579014</v>
      </c>
      <c r="D24" s="34">
        <v>4.4710000000000001</v>
      </c>
      <c r="E24" s="35">
        <v>4.9894999999999996</v>
      </c>
      <c r="F24" s="60">
        <f t="shared" si="0"/>
        <v>14.604999411579014</v>
      </c>
      <c r="M24" s="66">
        <v>12.025924315036971</v>
      </c>
      <c r="N24" s="33">
        <v>4.7515000000000001</v>
      </c>
      <c r="Q24" s="33">
        <v>11.445768528947536</v>
      </c>
    </row>
    <row r="25" spans="1:17" x14ac:dyDescent="0.3">
      <c r="A25" s="15" t="s">
        <v>69</v>
      </c>
      <c r="B25" s="78">
        <v>3.0174081370175685</v>
      </c>
      <c r="C25" s="33">
        <v>3.8554922548070278</v>
      </c>
      <c r="D25" s="34">
        <v>4.6240000000000006</v>
      </c>
      <c r="E25" s="35">
        <v>4.9130000000000003</v>
      </c>
      <c r="F25" s="60">
        <f t="shared" si="0"/>
        <v>5.8554922548070278</v>
      </c>
      <c r="M25" s="66">
        <v>12.604999411579014</v>
      </c>
      <c r="N25" s="33">
        <v>5.0490000000000004</v>
      </c>
      <c r="Q25" s="33">
        <v>3.0174081370175685</v>
      </c>
    </row>
    <row r="26" spans="1:17" x14ac:dyDescent="0.3">
      <c r="A26" s="15" t="s">
        <v>70</v>
      </c>
      <c r="B26" s="78">
        <v>2.5769092349321294</v>
      </c>
      <c r="C26" s="33">
        <v>3.4947644939728519</v>
      </c>
      <c r="D26" s="34">
        <v>5.0914999999999999</v>
      </c>
      <c r="E26" s="35">
        <v>5.0830000000000002</v>
      </c>
      <c r="F26" s="60">
        <f t="shared" si="0"/>
        <v>5.4947644939728519</v>
      </c>
      <c r="M26" s="66">
        <v>3.8554922548070278</v>
      </c>
      <c r="N26" s="33">
        <v>4.4880000000000004</v>
      </c>
      <c r="Q26" s="33">
        <v>2.5769092349321294</v>
      </c>
    </row>
    <row r="27" spans="1:17" x14ac:dyDescent="0.3">
      <c r="A27" s="15" t="s">
        <v>71</v>
      </c>
      <c r="B27" s="78">
        <v>2.0239854083542177</v>
      </c>
      <c r="C27" s="33">
        <v>3.0123843633416874</v>
      </c>
      <c r="D27" s="34">
        <v>3.9865000000000004</v>
      </c>
      <c r="E27" s="35">
        <v>3.5615000000000001</v>
      </c>
      <c r="F27" s="60">
        <f t="shared" si="0"/>
        <v>5.0123843633416874</v>
      </c>
      <c r="M27" s="66">
        <v>3.4947644939728519</v>
      </c>
      <c r="N27" s="33">
        <v>4.3094999999999999</v>
      </c>
      <c r="Q27" s="33">
        <v>2.0239854083542177</v>
      </c>
    </row>
    <row r="28" spans="1:17" x14ac:dyDescent="0.3">
      <c r="A28" s="15" t="s">
        <v>72</v>
      </c>
      <c r="B28" s="78">
        <v>0.87460528071334231</v>
      </c>
      <c r="C28" s="33">
        <v>1.676205112285337</v>
      </c>
      <c r="D28" s="34">
        <v>3.383</v>
      </c>
      <c r="E28" s="35">
        <v>3.3149999999999999</v>
      </c>
      <c r="F28" s="60">
        <f t="shared" si="0"/>
        <v>3.676205112285337</v>
      </c>
      <c r="M28" s="66">
        <v>3.0123843633416874</v>
      </c>
      <c r="N28" s="33">
        <v>3.8419999999999996</v>
      </c>
      <c r="Q28" s="33">
        <v>0.87460528071334231</v>
      </c>
    </row>
    <row r="29" spans="1:17" x14ac:dyDescent="0.3">
      <c r="A29" s="15" t="s">
        <v>73</v>
      </c>
      <c r="B29" s="78">
        <v>0.36893355581241749</v>
      </c>
      <c r="C29" s="33">
        <v>0.70707132232496694</v>
      </c>
      <c r="D29" s="34">
        <v>3.5019999999999998</v>
      </c>
      <c r="E29" s="35">
        <v>3.3915000000000002</v>
      </c>
      <c r="F29" s="60">
        <f t="shared" si="0"/>
        <v>2.7070713223249667</v>
      </c>
      <c r="M29" s="66">
        <v>1.676205112285337</v>
      </c>
      <c r="N29" s="33">
        <v>4.0289999999999999</v>
      </c>
      <c r="Q29" s="33">
        <v>0.36893355581241749</v>
      </c>
    </row>
    <row r="30" spans="1:17" x14ac:dyDescent="0.3">
      <c r="A30" s="15" t="s">
        <v>74</v>
      </c>
      <c r="B30" s="78">
        <v>1.2322294255504684</v>
      </c>
      <c r="C30" s="33">
        <v>2.3673667702201873</v>
      </c>
      <c r="D30" s="34">
        <v>3.468</v>
      </c>
      <c r="E30" s="35">
        <v>3.7229999999999999</v>
      </c>
      <c r="F30" s="60">
        <f t="shared" si="0"/>
        <v>4.3673667702201868</v>
      </c>
      <c r="M30" s="66">
        <v>0.70707132232496694</v>
      </c>
      <c r="N30" s="33">
        <v>4.3009999999999993</v>
      </c>
      <c r="Q30" s="33">
        <v>1.2322294255504684</v>
      </c>
    </row>
    <row r="31" spans="1:17" x14ac:dyDescent="0.3">
      <c r="A31" s="15" t="s">
        <v>75</v>
      </c>
      <c r="B31" s="78">
        <v>0.70610783998255922</v>
      </c>
      <c r="C31" s="33">
        <v>1.3565787359930237</v>
      </c>
      <c r="D31" s="34">
        <v>3.2469999999999999</v>
      </c>
      <c r="E31" s="35">
        <v>3.6634999999999995</v>
      </c>
      <c r="F31" s="60">
        <f t="shared" si="0"/>
        <v>3.3565787359930237</v>
      </c>
      <c r="M31" s="66">
        <v>2.3673667702201873</v>
      </c>
      <c r="N31" s="33">
        <v>4.2669999999999995</v>
      </c>
      <c r="Q31" s="33">
        <v>0.70610783998255922</v>
      </c>
    </row>
    <row r="32" spans="1:17" x14ac:dyDescent="0.3">
      <c r="A32" s="15" t="s">
        <v>76</v>
      </c>
      <c r="B32" s="78">
        <v>0.81362082959048898</v>
      </c>
      <c r="C32" s="33">
        <v>1.5593267318361956</v>
      </c>
      <c r="D32" s="34">
        <v>4.7430000000000003</v>
      </c>
      <c r="E32" s="35">
        <v>5.0065</v>
      </c>
      <c r="F32" s="60">
        <f t="shared" si="0"/>
        <v>3.5593267318361956</v>
      </c>
      <c r="M32" s="66">
        <v>1.3565787359930237</v>
      </c>
      <c r="N32" s="33">
        <v>5.1084999999999994</v>
      </c>
      <c r="Q32" s="33">
        <v>0.81362082959048898</v>
      </c>
    </row>
    <row r="33" spans="1:17" x14ac:dyDescent="0.3">
      <c r="A33" s="15" t="s">
        <v>77</v>
      </c>
      <c r="B33" s="78">
        <v>0.68232153302509913</v>
      </c>
      <c r="C33" s="33">
        <v>1.3076880132100397</v>
      </c>
      <c r="D33" s="34">
        <v>5.423</v>
      </c>
      <c r="E33" s="35">
        <v>5.4569999999999999</v>
      </c>
      <c r="F33" s="60">
        <f t="shared" si="0"/>
        <v>3.3076880132100399</v>
      </c>
      <c r="M33" s="66">
        <v>1.5593267318361956</v>
      </c>
      <c r="N33" s="33">
        <v>5.6865000000000006</v>
      </c>
      <c r="Q33" s="33">
        <v>0.68232153302509913</v>
      </c>
    </row>
    <row r="34" spans="1:17" x14ac:dyDescent="0.3">
      <c r="A34" s="15" t="s">
        <v>78</v>
      </c>
      <c r="B34" s="78">
        <v>0.60827139699280675</v>
      </c>
      <c r="C34" s="33">
        <v>1.3700071587971228</v>
      </c>
      <c r="D34" s="34">
        <v>4.968</v>
      </c>
      <c r="E34" s="35">
        <v>5.0960000000000001</v>
      </c>
      <c r="F34" s="60">
        <f t="shared" si="0"/>
        <v>3.3700071587971228</v>
      </c>
      <c r="M34" s="66">
        <v>1.3076880132100397</v>
      </c>
      <c r="N34" s="33">
        <v>5.3680000000000003</v>
      </c>
      <c r="Q34" s="33">
        <v>0.60827139699280675</v>
      </c>
    </row>
    <row r="35" spans="1:17" x14ac:dyDescent="0.3">
      <c r="A35" s="15" t="s">
        <v>79</v>
      </c>
      <c r="B35" s="78">
        <v>1.3072888062007086</v>
      </c>
      <c r="C35" s="33">
        <v>1.3072888062007086</v>
      </c>
      <c r="D35" s="34">
        <v>5.5040000000000004</v>
      </c>
      <c r="E35" s="35">
        <v>5.2960000000000003</v>
      </c>
      <c r="F35" s="60">
        <f t="shared" si="0"/>
        <v>3.3072888062007086</v>
      </c>
      <c r="M35" s="66">
        <v>1.3700071587971228</v>
      </c>
      <c r="N35" s="33">
        <v>5.24</v>
      </c>
      <c r="Q35" s="33">
        <v>1.3072888062007086</v>
      </c>
    </row>
    <row r="36" spans="1:17" x14ac:dyDescent="0.3">
      <c r="A36" s="15" t="s">
        <v>80</v>
      </c>
      <c r="B36" s="78">
        <v>1.3365654205601611</v>
      </c>
      <c r="C36" s="33">
        <v>1.3365654205601611</v>
      </c>
      <c r="D36" s="34">
        <v>4.431</v>
      </c>
      <c r="E36" s="35">
        <v>4.5709999999999997</v>
      </c>
      <c r="F36" s="60">
        <f t="shared" si="0"/>
        <v>3.3365654205601611</v>
      </c>
      <c r="M36" s="66">
        <v>1.3072888062007086</v>
      </c>
      <c r="N36" s="33">
        <v>4.794999999999999</v>
      </c>
      <c r="Q36" s="33">
        <v>1.3365654205601611</v>
      </c>
    </row>
    <row r="37" spans="1:17" x14ac:dyDescent="0.3">
      <c r="A37" s="15" t="s">
        <v>81</v>
      </c>
      <c r="B37" s="78">
        <v>2.0254608142008479</v>
      </c>
      <c r="C37" s="33">
        <v>2.0254608142008479</v>
      </c>
      <c r="D37" s="34">
        <v>2.75</v>
      </c>
      <c r="E37" s="35">
        <v>2.99</v>
      </c>
      <c r="F37" s="60">
        <f t="shared" si="0"/>
        <v>4.0254608142008479</v>
      </c>
      <c r="M37" s="66">
        <v>1.3365654205601611</v>
      </c>
      <c r="N37" s="33">
        <v>3.2749999999999999</v>
      </c>
      <c r="Q37" s="33">
        <v>2.0254608142008479</v>
      </c>
    </row>
    <row r="38" spans="1:17" x14ac:dyDescent="0.3">
      <c r="A38" s="15" t="s">
        <v>82</v>
      </c>
      <c r="B38" s="78">
        <v>2.3335990758103398</v>
      </c>
      <c r="C38" s="33">
        <v>2.3335990758103398</v>
      </c>
      <c r="D38" s="34">
        <v>3.04</v>
      </c>
      <c r="E38" s="35">
        <v>2.9849999999999999</v>
      </c>
      <c r="F38" s="60">
        <f t="shared" si="0"/>
        <v>4.3335990758103398</v>
      </c>
      <c r="M38" s="66">
        <v>2.0254608142008479</v>
      </c>
      <c r="N38" s="33">
        <v>3.21</v>
      </c>
      <c r="Q38" s="33">
        <v>2.3335990758103398</v>
      </c>
    </row>
    <row r="39" spans="1:17" x14ac:dyDescent="0.3">
      <c r="A39" s="15" t="s">
        <v>83</v>
      </c>
      <c r="B39" s="78">
        <v>3.0078005040322582</v>
      </c>
      <c r="C39" s="33">
        <v>3.0078005040322582</v>
      </c>
      <c r="D39" s="34">
        <v>2.3205</v>
      </c>
      <c r="E39" s="35">
        <v>2.4359999999999999</v>
      </c>
      <c r="F39" s="60">
        <f t="shared" si="0"/>
        <v>5.0078005040322582</v>
      </c>
      <c r="M39" s="66">
        <v>2.3335990758103398</v>
      </c>
      <c r="N39" s="33">
        <v>2.7719999999999998</v>
      </c>
      <c r="Q39" s="33">
        <v>3.0078005040322582</v>
      </c>
    </row>
    <row r="40" spans="1:17" x14ac:dyDescent="0.3">
      <c r="A40" s="15" t="s">
        <v>84</v>
      </c>
      <c r="B40" s="78">
        <v>5.8511888312912346</v>
      </c>
      <c r="C40" s="33">
        <v>5.8511888312912346</v>
      </c>
      <c r="D40" s="34">
        <v>2.8699999999999997</v>
      </c>
      <c r="E40" s="35">
        <v>2.8279999999999998</v>
      </c>
      <c r="F40" s="60">
        <f t="shared" si="0"/>
        <v>7.8511888312912346</v>
      </c>
      <c r="M40" s="66">
        <v>3.0078005040322582</v>
      </c>
      <c r="N40" s="33">
        <v>3.0659999999999998</v>
      </c>
      <c r="Q40" s="33">
        <v>5.8511888312912346</v>
      </c>
    </row>
    <row r="41" spans="1:17" x14ac:dyDescent="0.3">
      <c r="A41" s="15" t="s">
        <v>85</v>
      </c>
      <c r="B41" s="78">
        <v>6.0384364228535343</v>
      </c>
      <c r="C41" s="33">
        <v>6.0384364228535343</v>
      </c>
      <c r="D41" s="34">
        <v>2.6319999999999997</v>
      </c>
      <c r="E41" s="35">
        <v>2.5339999999999998</v>
      </c>
      <c r="F41" s="60">
        <f t="shared" si="0"/>
        <v>8.0384364228535343</v>
      </c>
      <c r="M41" s="66">
        <v>5.8511888312912346</v>
      </c>
      <c r="N41" s="33">
        <v>2.9539999999999997</v>
      </c>
      <c r="Q41" s="33">
        <v>6.0384364228535343</v>
      </c>
    </row>
    <row r="42" spans="1:17" x14ac:dyDescent="0.3">
      <c r="A42" s="15" t="s">
        <v>86</v>
      </c>
      <c r="B42" s="78">
        <v>2.6495269174768756</v>
      </c>
      <c r="C42" s="33">
        <v>2.6495269174768756</v>
      </c>
      <c r="D42" s="34">
        <v>3.6150000000000002</v>
      </c>
      <c r="E42" s="35">
        <v>3.5049999999999999</v>
      </c>
      <c r="F42" s="60">
        <f t="shared" si="0"/>
        <v>4.6495269174768756</v>
      </c>
      <c r="M42" s="66">
        <v>6.0384364228535343</v>
      </c>
      <c r="N42" s="33">
        <v>3.8149999999999999</v>
      </c>
      <c r="Q42" s="33">
        <v>2.6495269174768756</v>
      </c>
    </row>
    <row r="43" spans="1:17" x14ac:dyDescent="0.3">
      <c r="A43" s="15" t="s">
        <v>87</v>
      </c>
      <c r="B43" s="78">
        <v>3.0628859248987563</v>
      </c>
      <c r="C43" s="33">
        <v>3.0628859248987563</v>
      </c>
      <c r="D43" s="34">
        <v>2.895</v>
      </c>
      <c r="E43" s="35">
        <v>2.98</v>
      </c>
      <c r="F43" s="60">
        <f t="shared" si="0"/>
        <v>5.0628859248987563</v>
      </c>
      <c r="M43" s="66">
        <v>2.6495269174768756</v>
      </c>
      <c r="N43" s="33">
        <v>3.2850000000000001</v>
      </c>
      <c r="Q43" s="33">
        <v>3.0628859248987563</v>
      </c>
    </row>
    <row r="44" spans="1:17" x14ac:dyDescent="0.3">
      <c r="A44" s="15" t="s">
        <v>88</v>
      </c>
      <c r="B44" s="78">
        <v>3.9589946326322494</v>
      </c>
      <c r="C44" s="33">
        <v>3.9589946326322494</v>
      </c>
      <c r="D44" s="34">
        <v>4.9800000000000004</v>
      </c>
      <c r="E44" s="35">
        <v>4.5839999999999996</v>
      </c>
      <c r="F44" s="60">
        <f t="shared" si="0"/>
        <v>5.9589946326322494</v>
      </c>
      <c r="M44" s="66">
        <v>3.0628859248987563</v>
      </c>
      <c r="N44" s="33">
        <v>5.55</v>
      </c>
      <c r="Q44" s="33">
        <v>3.9589946326322494</v>
      </c>
    </row>
    <row r="45" spans="1:17" x14ac:dyDescent="0.3">
      <c r="A45" s="15" t="s">
        <v>89</v>
      </c>
      <c r="B45" s="78">
        <v>2.8765243513618044</v>
      </c>
      <c r="C45" s="33">
        <v>3.9459137405447215</v>
      </c>
      <c r="D45" s="34">
        <v>7.5519999999999996</v>
      </c>
      <c r="E45" s="35">
        <v>6.5920000000000005</v>
      </c>
      <c r="F45" s="60">
        <f t="shared" si="0"/>
        <v>5.9459137405447215</v>
      </c>
      <c r="M45" s="66">
        <v>3.9589946326322494</v>
      </c>
      <c r="N45" s="33">
        <v>8.4</v>
      </c>
      <c r="Q45" s="33">
        <v>2.8765243513618044</v>
      </c>
    </row>
    <row r="46" spans="1:17" x14ac:dyDescent="0.3">
      <c r="A46" s="15" t="s">
        <v>90</v>
      </c>
      <c r="B46" s="78">
        <v>1.7509646809258876</v>
      </c>
      <c r="C46" s="33">
        <v>2.8477732723703548</v>
      </c>
      <c r="D46" s="34">
        <v>6.16</v>
      </c>
      <c r="E46" s="35">
        <v>6.8879999999999999</v>
      </c>
      <c r="F46" s="60">
        <f t="shared" si="0"/>
        <v>4.8477732723703548</v>
      </c>
      <c r="M46" s="66">
        <v>3.9459137405447215</v>
      </c>
      <c r="N46" s="33">
        <v>8.1519999999999992</v>
      </c>
      <c r="Q46" s="33">
        <v>1.7509646809258876</v>
      </c>
    </row>
    <row r="47" spans="1:17" x14ac:dyDescent="0.3">
      <c r="A47" s="15" t="s">
        <v>91</v>
      </c>
      <c r="B47" s="78">
        <v>7.7588205843432654</v>
      </c>
      <c r="C47" s="33">
        <v>9.0004188337373066</v>
      </c>
      <c r="D47" s="34">
        <v>5.1254999999999997</v>
      </c>
      <c r="E47" s="35">
        <v>5.3804999999999996</v>
      </c>
      <c r="F47" s="60">
        <f t="shared" si="0"/>
        <v>11.000418833737307</v>
      </c>
      <c r="M47" s="66">
        <v>2.8477732723703548</v>
      </c>
      <c r="N47" s="33">
        <v>5.6865000000000006</v>
      </c>
      <c r="Q47" s="33">
        <v>7.7588205843432654</v>
      </c>
    </row>
    <row r="48" spans="1:17" x14ac:dyDescent="0.3">
      <c r="A48" s="15" t="s">
        <v>92</v>
      </c>
      <c r="B48" s="78">
        <v>5.6472956590062502</v>
      </c>
      <c r="C48" s="33">
        <v>6.2192554636024999</v>
      </c>
      <c r="D48" s="34">
        <v>4.8704999999999998</v>
      </c>
      <c r="E48" s="35">
        <v>4.6494999999999997</v>
      </c>
      <c r="F48" s="60">
        <f t="shared" si="0"/>
        <v>8.2192554636025008</v>
      </c>
      <c r="M48" s="66">
        <v>9.0004188337373066</v>
      </c>
      <c r="N48" s="33">
        <v>5.3549999999999995</v>
      </c>
      <c r="Q48" s="33">
        <v>5.6472956590062502</v>
      </c>
    </row>
    <row r="49" spans="1:17" x14ac:dyDescent="0.3">
      <c r="A49" s="15" t="s">
        <v>93</v>
      </c>
      <c r="B49" s="78">
        <v>2.2482539895559555</v>
      </c>
      <c r="C49" s="33">
        <v>2.8727057958223821</v>
      </c>
      <c r="D49" s="34">
        <v>5.0659999999999998</v>
      </c>
      <c r="E49" s="35">
        <v>4.9384999999999994</v>
      </c>
      <c r="F49" s="60">
        <f t="shared" si="0"/>
        <v>4.8727057958223821</v>
      </c>
      <c r="M49" s="66">
        <v>6.2192554636024999</v>
      </c>
      <c r="N49" s="33">
        <v>5.508</v>
      </c>
      <c r="Q49" s="33">
        <v>2.2482539895559555</v>
      </c>
    </row>
    <row r="50" spans="1:17" x14ac:dyDescent="0.3">
      <c r="A50" s="15" t="s">
        <v>94</v>
      </c>
      <c r="B50" s="78">
        <v>2.6465667084022471</v>
      </c>
      <c r="C50" s="33">
        <v>3.5892328833608991</v>
      </c>
      <c r="D50" s="34">
        <v>4.8704999999999998</v>
      </c>
      <c r="E50" s="35">
        <v>5.1849999999999996</v>
      </c>
      <c r="F50" s="60">
        <f t="shared" si="0"/>
        <v>5.5892328833608991</v>
      </c>
      <c r="M50" s="66">
        <v>2.8727057958223821</v>
      </c>
      <c r="N50" s="33">
        <v>5.5249999999999995</v>
      </c>
      <c r="Q50" s="33">
        <v>2.6465667084022471</v>
      </c>
    </row>
    <row r="51" spans="1:17" x14ac:dyDescent="0.3">
      <c r="A51" s="15" t="s">
        <v>95</v>
      </c>
      <c r="B51" s="78">
        <v>2.2509284005570809</v>
      </c>
      <c r="C51" s="33">
        <v>3.3501533602228326</v>
      </c>
      <c r="D51" s="34">
        <v>3.7229999999999999</v>
      </c>
      <c r="E51" s="35">
        <v>3.8080000000000003</v>
      </c>
      <c r="F51" s="60">
        <f t="shared" si="0"/>
        <v>5.3501533602228326</v>
      </c>
      <c r="M51" s="66">
        <v>3.5892328833608991</v>
      </c>
      <c r="N51" s="33">
        <v>3.6804999999999999</v>
      </c>
      <c r="Q51" s="33">
        <v>2.2509284005570809</v>
      </c>
    </row>
    <row r="52" spans="1:17" x14ac:dyDescent="0.3">
      <c r="A52" s="15" t="s">
        <v>96</v>
      </c>
      <c r="B52" s="78">
        <v>0.87760542404227238</v>
      </c>
      <c r="C52" s="33">
        <v>1.6819549696169089</v>
      </c>
      <c r="D52" s="34">
        <v>3.383</v>
      </c>
      <c r="E52" s="35">
        <v>3.536</v>
      </c>
      <c r="F52" s="60">
        <f t="shared" si="0"/>
        <v>3.6819549696169087</v>
      </c>
      <c r="M52" s="66">
        <v>3.3501533602228326</v>
      </c>
      <c r="N52" s="33">
        <v>3.6634999999999995</v>
      </c>
      <c r="Q52" s="33">
        <v>0.87760542404227238</v>
      </c>
    </row>
    <row r="53" spans="1:17" x14ac:dyDescent="0.3">
      <c r="A53" s="15" t="s">
        <v>97</v>
      </c>
      <c r="B53" s="78">
        <v>0.93471892668428003</v>
      </c>
      <c r="C53" s="33">
        <v>1.7914145706737119</v>
      </c>
      <c r="D53" s="34">
        <v>3.4595000000000002</v>
      </c>
      <c r="E53" s="35">
        <v>3.5105</v>
      </c>
      <c r="F53" s="60">
        <f t="shared" si="0"/>
        <v>3.7914145706737119</v>
      </c>
      <c r="M53" s="66">
        <v>1.6819549696169089</v>
      </c>
      <c r="N53" s="33">
        <v>3.74</v>
      </c>
      <c r="Q53" s="33">
        <v>0.93471892668428003</v>
      </c>
    </row>
    <row r="54" spans="1:17" x14ac:dyDescent="0.3">
      <c r="A54" s="15" t="s">
        <v>98</v>
      </c>
      <c r="B54" s="78">
        <v>1.3551149384976866</v>
      </c>
      <c r="C54" s="33">
        <v>2.6034551753990747</v>
      </c>
      <c r="D54" s="34">
        <v>3.6294999999999997</v>
      </c>
      <c r="E54" s="35">
        <v>3.3065000000000002</v>
      </c>
      <c r="F54" s="60">
        <f t="shared" si="0"/>
        <v>4.6034551753990751</v>
      </c>
      <c r="M54" s="66">
        <v>1.7914145706737119</v>
      </c>
      <c r="N54" s="33">
        <v>3.5444999999999998</v>
      </c>
      <c r="Q54" s="33">
        <v>1.3551149384976866</v>
      </c>
    </row>
    <row r="55" spans="1:17" x14ac:dyDescent="0.3">
      <c r="A55" s="15" t="s">
        <v>99</v>
      </c>
      <c r="B55" s="78">
        <v>1.1958915502264853</v>
      </c>
      <c r="C55" s="33">
        <v>2.2975542200905941</v>
      </c>
      <c r="D55" s="34">
        <v>3.8929999999999998</v>
      </c>
      <c r="E55" s="35">
        <v>3.4849999999999994</v>
      </c>
      <c r="F55" s="60">
        <f t="shared" si="0"/>
        <v>4.2975542200905945</v>
      </c>
      <c r="M55" s="66">
        <v>2.6034551753990747</v>
      </c>
      <c r="N55" s="33">
        <v>3.5955000000000004</v>
      </c>
      <c r="Q55" s="33">
        <v>1.1958915502264853</v>
      </c>
    </row>
    <row r="56" spans="1:17" x14ac:dyDescent="0.3">
      <c r="A56" s="15" t="s">
        <v>100</v>
      </c>
      <c r="B56" s="78">
        <v>1.3851170759577283</v>
      </c>
      <c r="C56" s="33">
        <v>2.6546150303830913</v>
      </c>
      <c r="D56" s="34">
        <v>4.6580000000000004</v>
      </c>
      <c r="E56" s="35">
        <v>4.3435000000000006</v>
      </c>
      <c r="F56" s="60">
        <f t="shared" si="0"/>
        <v>4.6546150303830913</v>
      </c>
      <c r="M56" s="66">
        <v>2.2975542200905941</v>
      </c>
      <c r="N56" s="33">
        <v>4.7854999999999999</v>
      </c>
      <c r="Q56" s="33">
        <v>1.3851170759577283</v>
      </c>
    </row>
    <row r="57" spans="1:17" x14ac:dyDescent="0.3">
      <c r="A57" s="15" t="s">
        <v>101</v>
      </c>
      <c r="B57" s="78">
        <v>1.0506151400264201</v>
      </c>
      <c r="C57" s="33">
        <v>2.0135328560105679</v>
      </c>
      <c r="D57" s="34">
        <v>4.9554999999999998</v>
      </c>
      <c r="E57" s="35">
        <v>5.1595000000000004</v>
      </c>
      <c r="F57" s="60">
        <f t="shared" si="0"/>
        <v>4.0135328560105679</v>
      </c>
      <c r="M57" s="66">
        <v>2.6546150303830913</v>
      </c>
      <c r="N57" s="33">
        <v>5.4485000000000001</v>
      </c>
      <c r="Q57" s="33">
        <v>1.0506151400264201</v>
      </c>
    </row>
    <row r="58" spans="1:17" x14ac:dyDescent="0.3">
      <c r="A58" s="15" t="s">
        <v>102</v>
      </c>
      <c r="B58" s="78">
        <v>0.57193702899021037</v>
      </c>
      <c r="C58" s="33">
        <v>1.2881714115960841</v>
      </c>
      <c r="D58" s="34">
        <v>4.8079999999999998</v>
      </c>
      <c r="E58" s="35">
        <v>4.7200000000000006</v>
      </c>
      <c r="F58" s="60">
        <f t="shared" si="0"/>
        <v>3.2881714115960841</v>
      </c>
      <c r="M58" s="66">
        <v>2.0135328560105679</v>
      </c>
      <c r="N58" s="33">
        <v>4.7280000000000006</v>
      </c>
      <c r="Q58" s="33">
        <v>0.57193702899021037</v>
      </c>
    </row>
    <row r="59" spans="1:17" x14ac:dyDescent="0.3">
      <c r="A59" s="15" t="s">
        <v>103</v>
      </c>
      <c r="B59" s="78">
        <v>0.75889556559746973</v>
      </c>
      <c r="C59" s="33">
        <v>1.720781026238988</v>
      </c>
      <c r="D59" s="34">
        <v>4.5119999999999996</v>
      </c>
      <c r="E59" s="35">
        <v>5.4160000000000004</v>
      </c>
      <c r="F59" s="60">
        <f t="shared" si="0"/>
        <v>3.720781026238988</v>
      </c>
      <c r="M59" s="66">
        <v>1.2881714115960841</v>
      </c>
      <c r="N59" s="33">
        <v>5.5600000000000005</v>
      </c>
      <c r="Q59" s="33">
        <v>0.75889556559746973</v>
      </c>
    </row>
    <row r="60" spans="1:17" x14ac:dyDescent="0.3">
      <c r="A60" s="15" t="s">
        <v>104</v>
      </c>
      <c r="B60" s="78">
        <v>1.8505067501872645</v>
      </c>
      <c r="C60" s="33">
        <v>1.8505067501872645</v>
      </c>
      <c r="D60" s="34">
        <v>4.6759999999999993</v>
      </c>
      <c r="E60" s="35">
        <v>4.8579999999999997</v>
      </c>
      <c r="F60" s="60">
        <f t="shared" si="0"/>
        <v>3.8505067501872645</v>
      </c>
      <c r="M60" s="66">
        <v>1.720781026238988</v>
      </c>
      <c r="N60" s="33">
        <v>4.4729999999999999</v>
      </c>
      <c r="Q60" s="33">
        <v>1.8505067501872645</v>
      </c>
    </row>
    <row r="61" spans="1:17" x14ac:dyDescent="0.3">
      <c r="A61" s="15" t="s">
        <v>105</v>
      </c>
      <c r="B61" s="78">
        <v>3.2835710656938906</v>
      </c>
      <c r="C61" s="33">
        <v>3.2835710656938906</v>
      </c>
      <c r="D61" s="34">
        <v>2.99</v>
      </c>
      <c r="E61" s="35">
        <v>2.77</v>
      </c>
      <c r="F61" s="60">
        <f t="shared" si="0"/>
        <v>5.2835710656938906</v>
      </c>
      <c r="M61" s="66">
        <v>1.8505067501872645</v>
      </c>
      <c r="N61" s="33">
        <v>2.9249999999999998</v>
      </c>
      <c r="Q61" s="33">
        <v>3.2835710656938906</v>
      </c>
    </row>
    <row r="62" spans="1:17" x14ac:dyDescent="0.3">
      <c r="A62" s="15" t="s">
        <v>106</v>
      </c>
      <c r="B62" s="78">
        <v>4.3971745717842445</v>
      </c>
      <c r="C62" s="33">
        <v>4.3971745717842445</v>
      </c>
      <c r="D62" s="34">
        <v>3.11</v>
      </c>
      <c r="E62" s="35">
        <v>3.01</v>
      </c>
      <c r="F62" s="60">
        <f t="shared" si="0"/>
        <v>6.3971745717842445</v>
      </c>
      <c r="M62" s="66">
        <v>3.2835710656938906</v>
      </c>
      <c r="N62" s="33">
        <v>3.0550000000000002</v>
      </c>
      <c r="Q62" s="33">
        <v>4.3971745717842445</v>
      </c>
    </row>
    <row r="63" spans="1:17" x14ac:dyDescent="0.3">
      <c r="A63" s="15" t="s">
        <v>107</v>
      </c>
      <c r="B63" s="78">
        <v>3.0521068523185484</v>
      </c>
      <c r="C63" s="33">
        <v>3.0521068523185484</v>
      </c>
      <c r="D63" s="34">
        <v>2.1734999999999998</v>
      </c>
      <c r="E63" s="35">
        <v>2.38</v>
      </c>
      <c r="F63" s="60">
        <f t="shared" si="0"/>
        <v>5.0521068523185484</v>
      </c>
      <c r="M63" s="66">
        <v>4.3971745717842445</v>
      </c>
      <c r="N63" s="33">
        <v>2.3344999999999998</v>
      </c>
      <c r="Q63" s="33">
        <v>3.0521068523185484</v>
      </c>
    </row>
    <row r="64" spans="1:17" x14ac:dyDescent="0.3">
      <c r="A64" s="15" t="s">
        <v>108</v>
      </c>
      <c r="B64" s="78">
        <v>5.4144824901036763</v>
      </c>
      <c r="C64" s="33">
        <v>5.4144824901036763</v>
      </c>
      <c r="D64" s="34">
        <v>2.5864999999999996</v>
      </c>
      <c r="E64" s="35">
        <v>2.6074999999999999</v>
      </c>
      <c r="F64" s="60">
        <f t="shared" si="0"/>
        <v>7.4144824901036763</v>
      </c>
      <c r="M64" s="66">
        <v>3.0521068523185484</v>
      </c>
      <c r="N64" s="33">
        <v>2.7930000000000001</v>
      </c>
      <c r="Q64" s="33">
        <v>5.4144824901036763</v>
      </c>
    </row>
    <row r="65" spans="1:17" x14ac:dyDescent="0.3">
      <c r="A65" s="15" t="s">
        <v>109</v>
      </c>
      <c r="B65" s="78">
        <v>5.2714807222768325</v>
      </c>
      <c r="C65" s="33">
        <v>5.2714807222768325</v>
      </c>
      <c r="D65" s="34">
        <v>2.6774999999999998</v>
      </c>
      <c r="E65" s="35">
        <v>2.254</v>
      </c>
      <c r="F65" s="60">
        <f t="shared" si="0"/>
        <v>7.2714807222768325</v>
      </c>
      <c r="M65" s="66">
        <v>5.4144824901036763</v>
      </c>
      <c r="N65" s="33">
        <v>2.4989999999999997</v>
      </c>
      <c r="Q65" s="33">
        <v>5.2714807222768325</v>
      </c>
    </row>
    <row r="66" spans="1:17" x14ac:dyDescent="0.3">
      <c r="A66" s="15" t="s">
        <v>110</v>
      </c>
      <c r="B66" s="78">
        <v>3.7388591355320582</v>
      </c>
      <c r="C66" s="33">
        <v>3.7388591355320582</v>
      </c>
      <c r="D66" s="34">
        <v>3.53</v>
      </c>
      <c r="E66" s="35">
        <v>3.12</v>
      </c>
      <c r="F66" s="60">
        <f t="shared" si="0"/>
        <v>5.7388591355320582</v>
      </c>
      <c r="M66" s="66">
        <v>5.2714807222768325</v>
      </c>
      <c r="N66" s="33">
        <v>3.35</v>
      </c>
      <c r="Q66" s="33">
        <v>3.7388591355320582</v>
      </c>
    </row>
    <row r="67" spans="1:17" x14ac:dyDescent="0.3">
      <c r="A67" s="15" t="s">
        <v>111</v>
      </c>
      <c r="B67" s="78">
        <v>3.5776098265076186</v>
      </c>
      <c r="C67" s="33">
        <v>3.5776098265076186</v>
      </c>
      <c r="D67" s="34">
        <v>2.8149999999999999</v>
      </c>
      <c r="E67" s="35">
        <v>2.625</v>
      </c>
      <c r="F67" s="60">
        <f t="shared" si="0"/>
        <v>5.5776098265076186</v>
      </c>
      <c r="M67" s="66">
        <v>3.7388591355320582</v>
      </c>
      <c r="N67" s="33">
        <v>2.76</v>
      </c>
      <c r="Q67" s="33">
        <v>3.5776098265076186</v>
      </c>
    </row>
    <row r="68" spans="1:17" x14ac:dyDescent="0.3">
      <c r="A68" s="15" t="s">
        <v>112</v>
      </c>
      <c r="B68" s="78">
        <v>5.6931925134322832</v>
      </c>
      <c r="C68" s="33">
        <v>5.6931925134322832</v>
      </c>
      <c r="D68" s="34">
        <v>5.2559999999999993</v>
      </c>
      <c r="E68" s="35">
        <v>5.01</v>
      </c>
      <c r="F68" s="60">
        <f t="shared" ref="F68:F131" si="1">C68+2</f>
        <v>7.6931925134322832</v>
      </c>
      <c r="M68" s="66">
        <v>3.5776098265076186</v>
      </c>
      <c r="N68" s="33">
        <v>5.0460000000000003</v>
      </c>
      <c r="Q68" s="33">
        <v>5.6931925134322832</v>
      </c>
    </row>
    <row r="69" spans="1:17" x14ac:dyDescent="0.3">
      <c r="A69" s="15" t="s">
        <v>113</v>
      </c>
      <c r="B69" s="78">
        <v>5.4049569273855518</v>
      </c>
      <c r="C69" s="33">
        <v>7.41432757095422</v>
      </c>
      <c r="D69" s="34">
        <v>6.5120000000000005</v>
      </c>
      <c r="E69" s="35">
        <v>6.7120000000000006</v>
      </c>
      <c r="F69" s="60">
        <f t="shared" si="1"/>
        <v>9.4143275709542209</v>
      </c>
      <c r="M69" s="66">
        <v>5.6931925134322832</v>
      </c>
      <c r="N69" s="33">
        <v>7.1280000000000001</v>
      </c>
      <c r="Q69" s="33">
        <v>5.4049569273855518</v>
      </c>
    </row>
    <row r="70" spans="1:17" x14ac:dyDescent="0.3">
      <c r="A70" s="15" t="s">
        <v>114</v>
      </c>
      <c r="B70" s="78">
        <v>1.6459076513406394</v>
      </c>
      <c r="C70" s="33">
        <v>2.6769082605362557</v>
      </c>
      <c r="D70" s="34">
        <v>7.176000000000001</v>
      </c>
      <c r="E70" s="35">
        <v>7.0880000000000001</v>
      </c>
      <c r="F70" s="60">
        <f t="shared" si="1"/>
        <v>4.6769082605362557</v>
      </c>
      <c r="M70" s="66">
        <v>7.41432757095422</v>
      </c>
      <c r="N70" s="33">
        <v>7.4319999999999995</v>
      </c>
      <c r="Q70" s="33">
        <v>1.6459076513406394</v>
      </c>
    </row>
    <row r="71" spans="1:17" x14ac:dyDescent="0.3">
      <c r="A71" s="15" t="s">
        <v>115</v>
      </c>
      <c r="B71" s="78">
        <v>9.3832998694504965</v>
      </c>
      <c r="C71" s="33">
        <v>10.884853947780199</v>
      </c>
      <c r="D71" s="34">
        <v>5.0575000000000001</v>
      </c>
      <c r="E71" s="35">
        <v>4.4624999999999995</v>
      </c>
      <c r="F71" s="60">
        <f t="shared" si="1"/>
        <v>12.884853947780199</v>
      </c>
      <c r="M71" s="66">
        <v>2.6769082605362557</v>
      </c>
      <c r="N71" s="33">
        <v>4.5134999999999996</v>
      </c>
      <c r="Q71" s="33">
        <v>9.3832998694504965</v>
      </c>
    </row>
    <row r="72" spans="1:17" x14ac:dyDescent="0.3">
      <c r="A72" s="15" t="s">
        <v>116</v>
      </c>
      <c r="B72" s="78">
        <v>10.118698599027715</v>
      </c>
      <c r="C72" s="33">
        <v>11.143523439611085</v>
      </c>
      <c r="D72" s="34">
        <v>4.8534999999999995</v>
      </c>
      <c r="E72" s="35">
        <v>4.6665000000000001</v>
      </c>
      <c r="F72" s="60">
        <f t="shared" si="1"/>
        <v>13.143523439611085</v>
      </c>
      <c r="M72" s="66">
        <v>10.884853947780199</v>
      </c>
      <c r="N72" s="33">
        <v>5.6439999999999992</v>
      </c>
      <c r="Q72" s="33">
        <v>10.118698599027715</v>
      </c>
    </row>
    <row r="73" spans="1:17" x14ac:dyDescent="0.3">
      <c r="A73" s="15" t="s">
        <v>117</v>
      </c>
      <c r="B73" s="78">
        <v>4.6936580387328819</v>
      </c>
      <c r="C73" s="33">
        <v>5.9973200154931527</v>
      </c>
      <c r="D73" s="34">
        <v>4.7089999999999996</v>
      </c>
      <c r="E73" s="35">
        <v>4.6325000000000003</v>
      </c>
      <c r="F73" s="60">
        <f t="shared" si="1"/>
        <v>7.9973200154931527</v>
      </c>
      <c r="M73" s="66">
        <v>11.143523439611085</v>
      </c>
      <c r="N73" s="33">
        <v>4.8194999999999997</v>
      </c>
      <c r="Q73" s="33">
        <v>4.6936580387328819</v>
      </c>
    </row>
    <row r="74" spans="1:17" x14ac:dyDescent="0.3">
      <c r="A74" s="15" t="s">
        <v>118</v>
      </c>
      <c r="B74" s="78">
        <v>3.1400718580751867</v>
      </c>
      <c r="C74" s="33">
        <v>4.2585169432300747</v>
      </c>
      <c r="D74" s="34">
        <v>4.7515000000000001</v>
      </c>
      <c r="E74" s="35">
        <v>4.5814999999999992</v>
      </c>
      <c r="F74" s="60">
        <f t="shared" si="1"/>
        <v>6.2585169432300747</v>
      </c>
      <c r="M74" s="66">
        <v>5.9973200154931527</v>
      </c>
      <c r="N74" s="33">
        <v>4.8449999999999998</v>
      </c>
      <c r="Q74" s="33">
        <v>3.1400718580751867</v>
      </c>
    </row>
    <row r="75" spans="1:17" x14ac:dyDescent="0.3">
      <c r="A75" s="15" t="s">
        <v>119</v>
      </c>
      <c r="B75" s="78">
        <v>1.7461626808077657</v>
      </c>
      <c r="C75" s="33">
        <v>2.5988888723231063</v>
      </c>
      <c r="D75" s="34">
        <v>3.2385000000000002</v>
      </c>
      <c r="E75" s="35">
        <v>3.4</v>
      </c>
      <c r="F75" s="60">
        <f t="shared" si="1"/>
        <v>4.5988888723231067</v>
      </c>
      <c r="M75" s="66">
        <v>4.2585169432300747</v>
      </c>
      <c r="N75" s="33">
        <v>4.0715000000000003</v>
      </c>
      <c r="Q75" s="33">
        <v>1.7461626808077657</v>
      </c>
    </row>
    <row r="76" spans="1:17" x14ac:dyDescent="0.3">
      <c r="A76" s="15" t="s">
        <v>120</v>
      </c>
      <c r="B76" s="78">
        <v>1.3124758632760902</v>
      </c>
      <c r="C76" s="33">
        <v>2.5153961453104361</v>
      </c>
      <c r="D76" s="34">
        <v>3.4169999999999994</v>
      </c>
      <c r="E76" s="35">
        <v>3.4849999999999994</v>
      </c>
      <c r="F76" s="60">
        <f t="shared" si="1"/>
        <v>4.5153961453104365</v>
      </c>
      <c r="M76" s="66">
        <v>2.5988888723231063</v>
      </c>
      <c r="N76" s="33">
        <v>3.6209999999999996</v>
      </c>
      <c r="Q76" s="33">
        <v>1.3124758632760902</v>
      </c>
    </row>
    <row r="77" spans="1:17" x14ac:dyDescent="0.3">
      <c r="A77" s="15" t="s">
        <v>121</v>
      </c>
      <c r="B77" s="78">
        <v>1.2417831809775433</v>
      </c>
      <c r="C77" s="33">
        <v>2.3799116723910174</v>
      </c>
      <c r="D77" s="34">
        <v>3.4764999999999997</v>
      </c>
      <c r="E77" s="35">
        <v>3.1959999999999997</v>
      </c>
      <c r="F77" s="60">
        <f t="shared" si="1"/>
        <v>4.3799116723910174</v>
      </c>
      <c r="M77" s="66">
        <v>2.5153961453104361</v>
      </c>
      <c r="N77" s="33">
        <v>3.8845000000000001</v>
      </c>
      <c r="Q77" s="33">
        <v>1.2417831809775433</v>
      </c>
    </row>
    <row r="78" spans="1:17" x14ac:dyDescent="0.3">
      <c r="A78" s="15" t="s">
        <v>122</v>
      </c>
      <c r="B78" s="78">
        <v>0.88051023588402011</v>
      </c>
      <c r="C78" s="33">
        <v>1.6916416943536081</v>
      </c>
      <c r="D78" s="34">
        <v>3.2725</v>
      </c>
      <c r="E78" s="35">
        <v>3.2044999999999999</v>
      </c>
      <c r="F78" s="60">
        <f t="shared" si="1"/>
        <v>3.6916416943536081</v>
      </c>
      <c r="M78" s="66">
        <v>2.3799116723910174</v>
      </c>
      <c r="N78" s="33">
        <v>3.927</v>
      </c>
      <c r="Q78" s="33">
        <v>0.88051023588402011</v>
      </c>
    </row>
    <row r="79" spans="1:17" x14ac:dyDescent="0.3">
      <c r="A79" s="15" t="s">
        <v>123</v>
      </c>
      <c r="B79" s="78">
        <v>0.79147220604122748</v>
      </c>
      <c r="C79" s="33">
        <v>1.520581282416491</v>
      </c>
      <c r="D79" s="34">
        <v>3.4424999999999999</v>
      </c>
      <c r="E79" s="35">
        <v>3.6634999999999995</v>
      </c>
      <c r="F79" s="60">
        <f t="shared" si="1"/>
        <v>3.520581282416491</v>
      </c>
      <c r="M79" s="66">
        <v>1.6916416943536081</v>
      </c>
      <c r="N79" s="33">
        <v>4.0034999999999998</v>
      </c>
      <c r="Q79" s="33">
        <v>0.79147220604122748</v>
      </c>
    </row>
    <row r="80" spans="1:17" x14ac:dyDescent="0.3">
      <c r="A80" s="15" t="s">
        <v>124</v>
      </c>
      <c r="B80" s="78">
        <v>1.0017760667107005</v>
      </c>
      <c r="C80" s="33">
        <v>1.9199314266842802</v>
      </c>
      <c r="D80" s="34">
        <v>4.2075000000000005</v>
      </c>
      <c r="E80" s="35">
        <v>4.5984999999999996</v>
      </c>
      <c r="F80" s="60">
        <f t="shared" si="1"/>
        <v>3.91993142668428</v>
      </c>
      <c r="M80" s="66">
        <v>1.520581282416491</v>
      </c>
      <c r="N80" s="33">
        <v>4.8790000000000004</v>
      </c>
      <c r="Q80" s="33">
        <v>1.0017760667107005</v>
      </c>
    </row>
    <row r="81" spans="1:17" x14ac:dyDescent="0.3">
      <c r="A81" s="15" t="s">
        <v>125</v>
      </c>
      <c r="B81" s="78">
        <v>1.1487739900924705</v>
      </c>
      <c r="C81" s="33">
        <v>2.2016569960369883</v>
      </c>
      <c r="D81" s="34">
        <v>5.1084999999999994</v>
      </c>
      <c r="E81" s="35">
        <v>5.1849999999999996</v>
      </c>
      <c r="F81" s="60">
        <f t="shared" si="1"/>
        <v>4.2016569960369878</v>
      </c>
      <c r="M81" s="66">
        <v>1.9199314266842802</v>
      </c>
      <c r="N81" s="33">
        <v>5.2614999999999998</v>
      </c>
      <c r="Q81" s="33">
        <v>1.1487739900924705</v>
      </c>
    </row>
    <row r="82" spans="1:17" x14ac:dyDescent="0.3">
      <c r="A82" s="15" t="s">
        <v>126</v>
      </c>
      <c r="B82" s="78">
        <v>0.52720367883606478</v>
      </c>
      <c r="C82" s="33">
        <v>1.1874186715344259</v>
      </c>
      <c r="D82" s="34">
        <v>4.5520000000000005</v>
      </c>
      <c r="E82" s="35">
        <v>4.7280000000000006</v>
      </c>
      <c r="F82" s="60">
        <f t="shared" si="1"/>
        <v>3.1874186715344259</v>
      </c>
      <c r="M82" s="66">
        <v>2.2016569960369883</v>
      </c>
      <c r="N82" s="33">
        <v>4.8640000000000008</v>
      </c>
      <c r="Q82" s="33">
        <v>0.52720367883606478</v>
      </c>
    </row>
    <row r="83" spans="1:17" x14ac:dyDescent="0.3">
      <c r="A83" s="15" t="s">
        <v>127</v>
      </c>
      <c r="B83" s="78">
        <v>0.57551663946843301</v>
      </c>
      <c r="C83" s="33">
        <v>1.3049728557873732</v>
      </c>
      <c r="D83" s="34">
        <v>4.6000000000000005</v>
      </c>
      <c r="E83" s="35">
        <v>4.5119999999999996</v>
      </c>
      <c r="F83" s="60">
        <f t="shared" si="1"/>
        <v>3.3049728557873732</v>
      </c>
      <c r="M83" s="66">
        <v>1.1874186715344259</v>
      </c>
      <c r="N83" s="33">
        <v>5.2160000000000002</v>
      </c>
      <c r="Q83" s="33">
        <v>0.57551663946843301</v>
      </c>
    </row>
    <row r="84" spans="1:17" x14ac:dyDescent="0.3">
      <c r="A84" s="15" t="s">
        <v>128</v>
      </c>
      <c r="B84" s="78">
        <v>1.2163133693522541</v>
      </c>
      <c r="C84" s="33">
        <v>1.2163133693522541</v>
      </c>
      <c r="D84" s="34">
        <v>4.3959999999999999</v>
      </c>
      <c r="E84" s="35">
        <v>4.34</v>
      </c>
      <c r="F84" s="60">
        <f t="shared" si="1"/>
        <v>3.2163133693522541</v>
      </c>
      <c r="M84" s="66">
        <v>1.3049728557873732</v>
      </c>
      <c r="N84" s="33">
        <v>5.0679999999999996</v>
      </c>
      <c r="Q84" s="33">
        <v>1.2163133693522541</v>
      </c>
    </row>
    <row r="85" spans="1:17" x14ac:dyDescent="0.3">
      <c r="A85" s="15" t="s">
        <v>129</v>
      </c>
      <c r="B85" s="78">
        <v>4.5084719244890561</v>
      </c>
      <c r="C85" s="33">
        <v>4.5084719244890561</v>
      </c>
      <c r="D85" s="34">
        <v>2.6949999999999998</v>
      </c>
      <c r="E85" s="35">
        <v>2.84</v>
      </c>
      <c r="F85" s="60">
        <f t="shared" si="1"/>
        <v>6.5084719244890561</v>
      </c>
      <c r="M85" s="66">
        <v>1.2163133693522541</v>
      </c>
      <c r="N85" s="33">
        <v>3.18</v>
      </c>
      <c r="Q85" s="33">
        <v>4.5084719244890561</v>
      </c>
    </row>
    <row r="86" spans="1:17" x14ac:dyDescent="0.3">
      <c r="A86" s="15" t="s">
        <v>130</v>
      </c>
      <c r="B86" s="78">
        <v>3.380499197932588</v>
      </c>
      <c r="C86" s="33">
        <v>3.380499197932588</v>
      </c>
      <c r="D86" s="34">
        <v>3.0350000000000001</v>
      </c>
      <c r="E86" s="35">
        <v>2.835</v>
      </c>
      <c r="F86" s="60">
        <f t="shared" si="1"/>
        <v>5.380499197932588</v>
      </c>
      <c r="M86" s="66">
        <v>4.5084719244890561</v>
      </c>
      <c r="N86" s="33">
        <v>3.39</v>
      </c>
      <c r="Q86" s="33">
        <v>3.380499197932588</v>
      </c>
    </row>
    <row r="87" spans="1:17" x14ac:dyDescent="0.3">
      <c r="A87" s="15" t="s">
        <v>131</v>
      </c>
      <c r="B87" s="78">
        <v>2.751424445564516</v>
      </c>
      <c r="C87" s="33">
        <v>2.751424445564516</v>
      </c>
      <c r="D87" s="34">
        <v>2.2189999999999999</v>
      </c>
      <c r="E87" s="35">
        <v>2.1385000000000001</v>
      </c>
      <c r="F87" s="60">
        <f t="shared" si="1"/>
        <v>4.751424445564516</v>
      </c>
      <c r="M87" s="66">
        <v>3.380499197932588</v>
      </c>
      <c r="N87" s="33">
        <v>2.3555000000000001</v>
      </c>
      <c r="Q87" s="33">
        <v>2.751424445564516</v>
      </c>
    </row>
    <row r="88" spans="1:17" x14ac:dyDescent="0.3">
      <c r="A88" s="15" t="s">
        <v>132</v>
      </c>
      <c r="B88" s="78">
        <v>5.3176788237511783</v>
      </c>
      <c r="C88" s="33">
        <v>5.3176788237511783</v>
      </c>
      <c r="D88" s="34">
        <v>2.359</v>
      </c>
      <c r="E88" s="35">
        <v>2.8139999999999996</v>
      </c>
      <c r="F88" s="60">
        <f t="shared" si="1"/>
        <v>7.3176788237511783</v>
      </c>
      <c r="M88" s="66">
        <v>2.751424445564516</v>
      </c>
      <c r="N88" s="33">
        <v>2.7685</v>
      </c>
      <c r="Q88" s="33">
        <v>5.3176788237511783</v>
      </c>
    </row>
    <row r="89" spans="1:17" x14ac:dyDescent="0.3">
      <c r="A89" s="15" t="s">
        <v>133</v>
      </c>
      <c r="B89" s="78">
        <v>5.9754779353692866</v>
      </c>
      <c r="C89" s="33">
        <v>5.9754779353692866</v>
      </c>
      <c r="D89" s="34">
        <v>2.4219999999999997</v>
      </c>
      <c r="E89" s="35">
        <v>2.3904999999999998</v>
      </c>
      <c r="F89" s="60">
        <f t="shared" si="1"/>
        <v>7.9754779353692866</v>
      </c>
      <c r="M89" s="66">
        <v>5.3176788237511783</v>
      </c>
      <c r="N89" s="33">
        <v>2.6040000000000001</v>
      </c>
      <c r="Q89" s="33">
        <v>5.9754779353692866</v>
      </c>
    </row>
    <row r="90" spans="1:17" x14ac:dyDescent="0.3">
      <c r="A90" s="15" t="s">
        <v>134</v>
      </c>
      <c r="B90" s="78">
        <v>2.8189735517877121</v>
      </c>
      <c r="C90" s="33">
        <v>2.8189735517877121</v>
      </c>
      <c r="D90" s="34">
        <v>3.2949999999999999</v>
      </c>
      <c r="E90" s="35">
        <v>3.42</v>
      </c>
      <c r="F90" s="60">
        <f t="shared" si="1"/>
        <v>4.8189735517877121</v>
      </c>
      <c r="M90" s="66">
        <v>5.9754779353692866</v>
      </c>
      <c r="N90" s="33">
        <v>3.67</v>
      </c>
      <c r="Q90" s="33">
        <v>2.8189735517877121</v>
      </c>
    </row>
    <row r="91" spans="1:17" x14ac:dyDescent="0.3">
      <c r="A91" s="15" t="s">
        <v>135</v>
      </c>
      <c r="B91" s="78">
        <v>2.034777222861285</v>
      </c>
      <c r="C91" s="33">
        <v>2.034777222861285</v>
      </c>
      <c r="D91" s="34">
        <v>2.7349999999999999</v>
      </c>
      <c r="E91" s="35">
        <v>2.9550000000000001</v>
      </c>
      <c r="F91" s="60">
        <f t="shared" si="1"/>
        <v>4.034777222861285</v>
      </c>
      <c r="M91" s="66">
        <v>2.8189735517877121</v>
      </c>
      <c r="N91" s="33">
        <v>2.9449999999999998</v>
      </c>
      <c r="Q91" s="33">
        <v>2.034777222861285</v>
      </c>
    </row>
    <row r="92" spans="1:17" x14ac:dyDescent="0.3">
      <c r="A92" s="15" t="s">
        <v>136</v>
      </c>
      <c r="B92" s="78">
        <v>3.2932555412181772</v>
      </c>
      <c r="C92" s="33">
        <v>3.2932555412181772</v>
      </c>
      <c r="D92" s="34">
        <v>4.9800000000000004</v>
      </c>
      <c r="E92" s="35">
        <v>4.7039999999999997</v>
      </c>
      <c r="F92" s="60">
        <f t="shared" si="1"/>
        <v>5.2932555412181772</v>
      </c>
      <c r="M92" s="66">
        <v>2.034777222861285</v>
      </c>
      <c r="N92" s="33">
        <v>5.0819999999999999</v>
      </c>
      <c r="Q92" s="33">
        <v>3.2932555412181772</v>
      </c>
    </row>
    <row r="93" spans="1:17" x14ac:dyDescent="0.3">
      <c r="A93" s="15" t="s">
        <v>137</v>
      </c>
      <c r="B93" s="78">
        <v>5.5137882433930647</v>
      </c>
      <c r="C93" s="33">
        <v>7.5636184973572265</v>
      </c>
      <c r="D93" s="34">
        <v>6.8719999999999999</v>
      </c>
      <c r="E93" s="35">
        <v>6.5840000000000005</v>
      </c>
      <c r="F93" s="60">
        <f t="shared" si="1"/>
        <v>9.5636184973572256</v>
      </c>
      <c r="M93" s="66">
        <v>3.2932555412181772</v>
      </c>
      <c r="N93" s="33">
        <v>7.4080000000000004</v>
      </c>
      <c r="Q93" s="33">
        <v>5.5137882433930647</v>
      </c>
    </row>
    <row r="94" spans="1:17" x14ac:dyDescent="0.3">
      <c r="A94" s="15" t="s">
        <v>138</v>
      </c>
      <c r="B94" s="78">
        <v>2.1815582383194085</v>
      </c>
      <c r="C94" s="33">
        <v>3.5480916953277633</v>
      </c>
      <c r="D94" s="34">
        <v>6.2240000000000002</v>
      </c>
      <c r="E94" s="35">
        <v>7.3440000000000003</v>
      </c>
      <c r="F94" s="60">
        <f t="shared" si="1"/>
        <v>5.5480916953277628</v>
      </c>
      <c r="M94" s="66">
        <v>7.5636184973572265</v>
      </c>
      <c r="N94" s="33">
        <v>6.6879999999999997</v>
      </c>
      <c r="Q94" s="33">
        <v>2.1815582383194085</v>
      </c>
    </row>
    <row r="95" spans="1:17" x14ac:dyDescent="0.3">
      <c r="A95" s="15" t="s">
        <v>139</v>
      </c>
      <c r="B95" s="78">
        <v>7.209557735648759</v>
      </c>
      <c r="C95" s="33">
        <v>8.3632606942595036</v>
      </c>
      <c r="D95" s="34">
        <v>4.7685000000000004</v>
      </c>
      <c r="E95" s="35">
        <v>5.2869999999999999</v>
      </c>
      <c r="F95" s="60">
        <f t="shared" si="1"/>
        <v>10.363260694259504</v>
      </c>
      <c r="M95" s="66">
        <v>3.5480916953277633</v>
      </c>
      <c r="N95" s="33">
        <v>5.4314999999999998</v>
      </c>
      <c r="Q95" s="33">
        <v>7.209557735648759</v>
      </c>
    </row>
    <row r="96" spans="1:17" x14ac:dyDescent="0.3">
      <c r="A96" s="15" t="s">
        <v>140</v>
      </c>
      <c r="B96" s="78">
        <v>9.3115377545930933</v>
      </c>
      <c r="C96" s="33">
        <v>10.254613101837238</v>
      </c>
      <c r="D96" s="34">
        <v>4.1734999999999998</v>
      </c>
      <c r="E96" s="35">
        <v>5.1764999999999999</v>
      </c>
      <c r="F96" s="60">
        <f t="shared" si="1"/>
        <v>12.254613101837238</v>
      </c>
      <c r="M96" s="66">
        <v>8.3632606942595036</v>
      </c>
      <c r="N96" s="33">
        <v>5.2869999999999999</v>
      </c>
      <c r="Q96" s="33">
        <v>9.3115377545930933</v>
      </c>
    </row>
    <row r="97" spans="1:17" x14ac:dyDescent="0.3">
      <c r="A97" s="15" t="s">
        <v>141</v>
      </c>
      <c r="B97" s="78">
        <v>3.6249590339604372</v>
      </c>
      <c r="C97" s="33">
        <v>4.6317902135841749</v>
      </c>
      <c r="D97" s="34">
        <v>4.3689999999999998</v>
      </c>
      <c r="E97" s="35">
        <v>4.5049999999999999</v>
      </c>
      <c r="F97" s="60">
        <f t="shared" si="1"/>
        <v>6.6317902135841749</v>
      </c>
      <c r="M97" s="66">
        <v>10.254613101837238</v>
      </c>
      <c r="N97" s="33">
        <v>5.0830000000000002</v>
      </c>
      <c r="Q97" s="33">
        <v>3.6249590339604372</v>
      </c>
    </row>
    <row r="98" spans="1:17" x14ac:dyDescent="0.3">
      <c r="A98" s="15" t="s">
        <v>142</v>
      </c>
      <c r="B98" s="78">
        <v>2.8303326977187719</v>
      </c>
      <c r="C98" s="33">
        <v>3.8384534790875087</v>
      </c>
      <c r="D98" s="34">
        <v>4.3689999999999998</v>
      </c>
      <c r="E98" s="35">
        <v>4.7089999999999996</v>
      </c>
      <c r="F98" s="60">
        <f t="shared" si="1"/>
        <v>5.8384534790875087</v>
      </c>
      <c r="M98" s="66">
        <v>4.6317902135841749</v>
      </c>
      <c r="N98" s="33">
        <v>5.3549999999999995</v>
      </c>
      <c r="Q98" s="33">
        <v>2.8303326977187719</v>
      </c>
    </row>
    <row r="99" spans="1:17" x14ac:dyDescent="0.3">
      <c r="A99" s="15" t="s">
        <v>143</v>
      </c>
      <c r="B99" s="78">
        <v>1.4366238468769781</v>
      </c>
      <c r="C99" s="33">
        <v>2.1381889387507913</v>
      </c>
      <c r="D99" s="34">
        <v>3.7654999999999998</v>
      </c>
      <c r="E99" s="35">
        <v>3.5105</v>
      </c>
      <c r="F99" s="60">
        <f t="shared" si="1"/>
        <v>4.1381889387507913</v>
      </c>
      <c r="M99" s="66">
        <v>3.8384534790875087</v>
      </c>
      <c r="N99" s="33">
        <v>3.1875</v>
      </c>
      <c r="Q99" s="33">
        <v>1.4366238468769781</v>
      </c>
    </row>
    <row r="100" spans="1:17" x14ac:dyDescent="0.3">
      <c r="A100" s="15" t="s">
        <v>144</v>
      </c>
      <c r="B100" s="78">
        <v>0.96514725627476894</v>
      </c>
      <c r="C100" s="33">
        <v>1.8497313025099076</v>
      </c>
      <c r="D100" s="34">
        <v>3.6124999999999998</v>
      </c>
      <c r="E100" s="35">
        <v>3.4764999999999997</v>
      </c>
      <c r="F100" s="60">
        <f t="shared" si="1"/>
        <v>3.8497313025099076</v>
      </c>
      <c r="M100" s="66">
        <v>2.1381889387507913</v>
      </c>
      <c r="N100" s="33">
        <v>3.5189999999999997</v>
      </c>
      <c r="Q100" s="33">
        <v>0.96514725627476894</v>
      </c>
    </row>
    <row r="101" spans="1:17" x14ac:dyDescent="0.3">
      <c r="A101" s="15" t="s">
        <v>145</v>
      </c>
      <c r="B101" s="78">
        <v>0.88639418626155919</v>
      </c>
      <c r="C101" s="33">
        <v>1.6987988745046236</v>
      </c>
      <c r="D101" s="34">
        <v>3.2385000000000002</v>
      </c>
      <c r="E101" s="35">
        <v>3.5105</v>
      </c>
      <c r="F101" s="60">
        <f t="shared" si="1"/>
        <v>3.6987988745046234</v>
      </c>
      <c r="M101" s="66">
        <v>1.8497313025099076</v>
      </c>
      <c r="N101" s="33">
        <v>3.2044999999999999</v>
      </c>
      <c r="Q101" s="33">
        <v>0.88639418626155919</v>
      </c>
    </row>
    <row r="102" spans="1:17" x14ac:dyDescent="0.3">
      <c r="A102" s="15" t="s">
        <v>146</v>
      </c>
      <c r="B102" s="78">
        <v>1.3304374155947971</v>
      </c>
      <c r="C102" s="33">
        <v>2.5560445662379188</v>
      </c>
      <c r="D102" s="34">
        <v>3.5615000000000001</v>
      </c>
      <c r="E102" s="35">
        <v>3.4764999999999997</v>
      </c>
      <c r="F102" s="60">
        <f t="shared" si="1"/>
        <v>4.5560445662379188</v>
      </c>
      <c r="M102" s="66">
        <v>1.6987988745046236</v>
      </c>
      <c r="N102" s="33">
        <v>3.3405</v>
      </c>
      <c r="Q102" s="33">
        <v>1.3304374155947971</v>
      </c>
    </row>
    <row r="103" spans="1:17" x14ac:dyDescent="0.3">
      <c r="A103" s="15" t="s">
        <v>147</v>
      </c>
      <c r="B103" s="78">
        <v>0.82463299721434991</v>
      </c>
      <c r="C103" s="33">
        <v>1.58428999888574</v>
      </c>
      <c r="D103" s="34">
        <v>3.6294999999999997</v>
      </c>
      <c r="E103" s="35">
        <v>3.6465000000000001</v>
      </c>
      <c r="F103" s="60">
        <f t="shared" si="1"/>
        <v>3.58428999888574</v>
      </c>
      <c r="M103" s="66">
        <v>2.5560445662379188</v>
      </c>
      <c r="N103" s="33">
        <v>3.4339999999999997</v>
      </c>
      <c r="Q103" s="33">
        <v>0.82463299721434991</v>
      </c>
    </row>
    <row r="104" spans="1:17" x14ac:dyDescent="0.3">
      <c r="A104" s="15" t="s">
        <v>148</v>
      </c>
      <c r="B104" s="78">
        <v>1.2563027985468955</v>
      </c>
      <c r="C104" s="33">
        <v>2.4077389194187582</v>
      </c>
      <c r="D104" s="34">
        <v>4.8025000000000002</v>
      </c>
      <c r="E104" s="35">
        <v>4.4539999999999997</v>
      </c>
      <c r="F104" s="60">
        <f t="shared" si="1"/>
        <v>4.4077389194187582</v>
      </c>
      <c r="M104" s="66">
        <v>1.58428999888574</v>
      </c>
      <c r="N104" s="33">
        <v>4.2755000000000001</v>
      </c>
      <c r="Q104" s="33">
        <v>1.2563027985468955</v>
      </c>
    </row>
    <row r="105" spans="1:17" x14ac:dyDescent="0.3">
      <c r="A105" s="15" t="s">
        <v>149</v>
      </c>
      <c r="B105" s="78">
        <v>0.83446001585204765</v>
      </c>
      <c r="C105" s="33">
        <v>1.599265606340819</v>
      </c>
      <c r="D105" s="34">
        <v>5.6524999999999999</v>
      </c>
      <c r="E105" s="35">
        <v>5.1254999999999997</v>
      </c>
      <c r="F105" s="60">
        <f t="shared" si="1"/>
        <v>3.5992656063408193</v>
      </c>
      <c r="M105" s="66">
        <v>2.4077389194187582</v>
      </c>
      <c r="N105" s="33">
        <v>4.9215</v>
      </c>
      <c r="Q105" s="33">
        <v>0.83446001585204765</v>
      </c>
    </row>
    <row r="106" spans="1:17" x14ac:dyDescent="0.3">
      <c r="A106" s="15" t="s">
        <v>150</v>
      </c>
      <c r="B106" s="78">
        <v>0.43662430531667473</v>
      </c>
      <c r="C106" s="33">
        <v>0.98340712212666981</v>
      </c>
      <c r="D106" s="34">
        <v>5.1360000000000001</v>
      </c>
      <c r="E106" s="35">
        <v>4.6079999999999997</v>
      </c>
      <c r="F106" s="60">
        <f t="shared" si="1"/>
        <v>2.9834071221266698</v>
      </c>
      <c r="M106" s="66">
        <v>1.599265606340819</v>
      </c>
      <c r="N106" s="33">
        <v>4.0880000000000001</v>
      </c>
      <c r="Q106" s="33">
        <v>0.43662430531667473</v>
      </c>
    </row>
    <row r="107" spans="1:17" x14ac:dyDescent="0.3">
      <c r="A107" s="15" t="s">
        <v>151</v>
      </c>
      <c r="B107" s="78">
        <v>0.67422673744723027</v>
      </c>
      <c r="C107" s="33">
        <v>1.5287960949788921</v>
      </c>
      <c r="D107" s="34">
        <v>5.5120000000000005</v>
      </c>
      <c r="E107" s="35">
        <v>4.8640000000000008</v>
      </c>
      <c r="F107" s="60">
        <f t="shared" si="1"/>
        <v>3.5287960949788921</v>
      </c>
      <c r="M107" s="66">
        <v>0.98340712212666981</v>
      </c>
      <c r="N107" s="33">
        <v>4.9600000000000009</v>
      </c>
      <c r="Q107" s="33">
        <v>0.67422673744723027</v>
      </c>
    </row>
    <row r="108" spans="1:17" x14ac:dyDescent="0.3">
      <c r="A108" s="15" t="s">
        <v>152</v>
      </c>
      <c r="B108" s="78">
        <v>1.5168385987981603</v>
      </c>
      <c r="C108" s="33">
        <v>1.5168385987981603</v>
      </c>
      <c r="D108" s="34">
        <v>4.6269999999999998</v>
      </c>
      <c r="E108" s="35">
        <v>4.2139999999999995</v>
      </c>
      <c r="F108" s="60">
        <f t="shared" si="1"/>
        <v>3.5168385987981603</v>
      </c>
      <c r="M108" s="66">
        <v>1.5287960949788921</v>
      </c>
      <c r="N108" s="33">
        <v>4.34</v>
      </c>
      <c r="Q108" s="33">
        <v>1.5168385987981603</v>
      </c>
    </row>
    <row r="109" spans="1:17" x14ac:dyDescent="0.3">
      <c r="A109" s="15" t="s">
        <v>153</v>
      </c>
      <c r="B109" s="78">
        <v>2.7542905327681568</v>
      </c>
      <c r="C109" s="33">
        <v>2.7542905327681568</v>
      </c>
      <c r="D109" s="34">
        <v>2.81</v>
      </c>
      <c r="E109" s="35">
        <v>2.76</v>
      </c>
      <c r="F109" s="60">
        <f t="shared" si="1"/>
        <v>4.7542905327681568</v>
      </c>
      <c r="M109" s="66">
        <v>1.5168385987981603</v>
      </c>
      <c r="N109" s="33">
        <v>2.8250000000000002</v>
      </c>
      <c r="Q109" s="33">
        <v>2.7542905327681568</v>
      </c>
    </row>
    <row r="110" spans="1:17" x14ac:dyDescent="0.3">
      <c r="A110" s="15" t="s">
        <v>154</v>
      </c>
      <c r="B110" s="78">
        <v>2.4400237463954237</v>
      </c>
      <c r="C110" s="33">
        <v>2.4400237463954237</v>
      </c>
      <c r="D110" s="34">
        <v>2.99</v>
      </c>
      <c r="E110" s="35">
        <v>3.0449999999999999</v>
      </c>
      <c r="F110" s="60">
        <f t="shared" si="1"/>
        <v>4.4400237463954237</v>
      </c>
      <c r="M110" s="66">
        <v>2.7542905327681568</v>
      </c>
      <c r="N110" s="33">
        <v>2.9049999999999998</v>
      </c>
      <c r="Q110" s="33">
        <v>2.4400237463954237</v>
      </c>
    </row>
    <row r="111" spans="1:17" x14ac:dyDescent="0.3">
      <c r="A111" s="15" t="s">
        <v>155</v>
      </c>
      <c r="B111" s="78">
        <v>1.829089768145161</v>
      </c>
      <c r="C111" s="33">
        <v>1.829089768145161</v>
      </c>
      <c r="D111" s="34">
        <v>2.4289999999999998</v>
      </c>
      <c r="E111" s="35">
        <v>2.2399999999999998</v>
      </c>
      <c r="F111" s="60">
        <f t="shared" si="1"/>
        <v>3.829089768145161</v>
      </c>
      <c r="M111" s="66">
        <v>2.4400237463954237</v>
      </c>
      <c r="N111" s="33">
        <v>2.3275000000000001</v>
      </c>
      <c r="Q111" s="33">
        <v>1.829089768145161</v>
      </c>
    </row>
    <row r="112" spans="1:17" x14ac:dyDescent="0.3">
      <c r="A112" s="15" t="s">
        <v>156</v>
      </c>
      <c r="B112" s="78">
        <v>6.152421975494816</v>
      </c>
      <c r="C112" s="33">
        <v>6.152421975494816</v>
      </c>
      <c r="D112" s="34">
        <v>2.9330000000000003</v>
      </c>
      <c r="E112" s="35">
        <v>2.7789999999999999</v>
      </c>
      <c r="F112" s="60">
        <f t="shared" si="1"/>
        <v>8.152421975494816</v>
      </c>
      <c r="M112" s="66">
        <v>1.829089768145161</v>
      </c>
      <c r="N112" s="33">
        <v>2.8104999999999998</v>
      </c>
      <c r="Q112" s="33">
        <v>6.152421975494816</v>
      </c>
    </row>
    <row r="113" spans="1:17" x14ac:dyDescent="0.3">
      <c r="A113" s="15" t="s">
        <v>157</v>
      </c>
      <c r="B113" s="78">
        <v>3.944181180127762</v>
      </c>
      <c r="C113" s="33">
        <v>3.944181180127762</v>
      </c>
      <c r="D113" s="34">
        <v>2.3449999999999998</v>
      </c>
      <c r="E113" s="35">
        <v>2.5514999999999999</v>
      </c>
      <c r="F113" s="60">
        <f t="shared" si="1"/>
        <v>5.944181180127762</v>
      </c>
      <c r="M113" s="66">
        <v>6.152421975494816</v>
      </c>
      <c r="N113" s="33">
        <v>2.6214999999999997</v>
      </c>
      <c r="Q113" s="33">
        <v>3.944181180127762</v>
      </c>
    </row>
    <row r="114" spans="1:17" x14ac:dyDescent="0.3">
      <c r="A114" s="15" t="s">
        <v>158</v>
      </c>
      <c r="B114" s="78">
        <v>4.1600808512314646</v>
      </c>
      <c r="C114" s="33">
        <v>4.1600808512314646</v>
      </c>
      <c r="D114" s="34">
        <v>3.56</v>
      </c>
      <c r="E114" s="35">
        <v>3.645</v>
      </c>
      <c r="F114" s="60">
        <f t="shared" si="1"/>
        <v>6.1600808512314646</v>
      </c>
      <c r="M114" s="66">
        <v>3.944181180127762</v>
      </c>
      <c r="N114" s="33">
        <v>3.13</v>
      </c>
      <c r="Q114" s="33">
        <v>4.1600808512314646</v>
      </c>
    </row>
    <row r="115" spans="1:17" x14ac:dyDescent="0.3">
      <c r="A115" s="15" t="s">
        <v>159</v>
      </c>
      <c r="B115" s="78">
        <v>1.9903747804163183</v>
      </c>
      <c r="C115" s="33">
        <v>1.9903747804163183</v>
      </c>
      <c r="D115" s="34">
        <v>2.9550000000000001</v>
      </c>
      <c r="E115" s="35">
        <v>2.4550000000000001</v>
      </c>
      <c r="F115" s="60">
        <f t="shared" si="1"/>
        <v>3.9903747804163183</v>
      </c>
      <c r="M115" s="66">
        <v>4.1600808512314646</v>
      </c>
      <c r="N115" s="33">
        <v>2.6949999999999998</v>
      </c>
      <c r="Q115" s="33">
        <v>1.9903747804163183</v>
      </c>
    </row>
    <row r="116" spans="1:17" x14ac:dyDescent="0.3">
      <c r="A116" s="15" t="s">
        <v>160</v>
      </c>
      <c r="B116" s="78">
        <v>3.3864387915148502</v>
      </c>
      <c r="C116" s="33">
        <v>3.3864387915148502</v>
      </c>
      <c r="D116" s="34">
        <v>4.9980000000000002</v>
      </c>
      <c r="E116" s="35">
        <v>4.6680000000000001</v>
      </c>
      <c r="F116" s="60">
        <f t="shared" si="1"/>
        <v>5.3864387915148502</v>
      </c>
      <c r="M116" s="66">
        <v>1.9903747804163183</v>
      </c>
      <c r="N116" s="33">
        <v>5.3879999999999999</v>
      </c>
      <c r="Q116" s="33">
        <v>3.3864387915148502</v>
      </c>
    </row>
    <row r="117" spans="1:17" x14ac:dyDescent="0.3">
      <c r="A117" s="15" t="s">
        <v>161</v>
      </c>
      <c r="B117" s="78">
        <v>3.7044953992801624</v>
      </c>
      <c r="C117" s="33">
        <v>5.0816949597120651</v>
      </c>
      <c r="D117" s="34">
        <v>6.952</v>
      </c>
      <c r="E117" s="35">
        <v>6.5120000000000005</v>
      </c>
      <c r="F117" s="60">
        <f t="shared" si="1"/>
        <v>7.0816949597120651</v>
      </c>
      <c r="M117" s="66">
        <v>3.3864387915148502</v>
      </c>
      <c r="N117" s="33">
        <v>7.032</v>
      </c>
      <c r="Q117" s="33">
        <v>3.7044953992801624</v>
      </c>
    </row>
    <row r="118" spans="1:17" x14ac:dyDescent="0.3">
      <c r="A118" s="15" t="s">
        <v>162</v>
      </c>
      <c r="B118" s="78">
        <v>1.891988370131924</v>
      </c>
      <c r="C118" s="33">
        <v>3.0771345480527694</v>
      </c>
      <c r="D118" s="34">
        <v>7.08</v>
      </c>
      <c r="E118" s="35">
        <v>6.6879999999999997</v>
      </c>
      <c r="F118" s="60">
        <f t="shared" si="1"/>
        <v>5.0771345480527694</v>
      </c>
      <c r="M118" s="66">
        <v>5.0816949597120651</v>
      </c>
      <c r="N118" s="33">
        <v>7.3040000000000012</v>
      </c>
      <c r="Q118" s="33">
        <v>1.891988370131924</v>
      </c>
    </row>
    <row r="119" spans="1:17" x14ac:dyDescent="0.3">
      <c r="A119" s="15" t="s">
        <v>163</v>
      </c>
      <c r="B119" s="78">
        <v>7.2202042402049535</v>
      </c>
      <c r="C119" s="33">
        <v>8.3756108960819819</v>
      </c>
      <c r="D119" s="34">
        <v>4.9894999999999996</v>
      </c>
      <c r="E119" s="35">
        <v>4.8194999999999997</v>
      </c>
      <c r="F119" s="60">
        <f t="shared" si="1"/>
        <v>10.375610896081982</v>
      </c>
      <c r="M119" s="66">
        <v>3.0771345480527694</v>
      </c>
      <c r="N119" s="33">
        <v>4.8534999999999995</v>
      </c>
      <c r="Q119" s="33">
        <v>7.2202042402049535</v>
      </c>
    </row>
    <row r="120" spans="1:17" x14ac:dyDescent="0.3">
      <c r="A120" s="15" t="s">
        <v>164</v>
      </c>
      <c r="B120" s="78">
        <v>5.5009806978660265</v>
      </c>
      <c r="C120" s="33">
        <v>6.0581216791464101</v>
      </c>
      <c r="D120" s="34">
        <v>4.7174999999999994</v>
      </c>
      <c r="E120" s="35">
        <v>4.4624999999999995</v>
      </c>
      <c r="F120" s="60">
        <f t="shared" si="1"/>
        <v>8.0581216791464101</v>
      </c>
      <c r="M120" s="66">
        <v>8.3756108960819819</v>
      </c>
      <c r="N120" s="33">
        <v>4.335</v>
      </c>
      <c r="Q120" s="33">
        <v>5.5009806978660265</v>
      </c>
    </row>
    <row r="121" spans="1:17" x14ac:dyDescent="0.3">
      <c r="A121" s="15" t="s">
        <v>165</v>
      </c>
      <c r="B121" s="78">
        <v>3.0821883378752246</v>
      </c>
      <c r="C121" s="33">
        <v>3.9382651351500897</v>
      </c>
      <c r="D121" s="34">
        <v>5.0575000000000001</v>
      </c>
      <c r="E121" s="35">
        <v>4.8194999999999997</v>
      </c>
      <c r="F121" s="60">
        <f t="shared" si="1"/>
        <v>5.9382651351500897</v>
      </c>
      <c r="M121" s="66">
        <v>6.0581216791464101</v>
      </c>
      <c r="N121" s="33">
        <v>4.4880000000000004</v>
      </c>
      <c r="Q121" s="33">
        <v>3.0821883378752246</v>
      </c>
    </row>
    <row r="122" spans="1:17" x14ac:dyDescent="0.3">
      <c r="A122" s="15" t="s">
        <v>166</v>
      </c>
      <c r="B122" s="78">
        <v>2.578097080938119</v>
      </c>
      <c r="C122" s="33">
        <v>3.4963754323752476</v>
      </c>
      <c r="D122" s="34">
        <v>4.7685000000000004</v>
      </c>
      <c r="E122" s="35">
        <v>4.5389999999999997</v>
      </c>
      <c r="F122" s="60">
        <f t="shared" si="1"/>
        <v>5.4963754323752472</v>
      </c>
      <c r="M122" s="66">
        <v>3.9382651351500897</v>
      </c>
      <c r="N122" s="33">
        <v>4.8704999999999998</v>
      </c>
      <c r="Q122" s="33">
        <v>2.578097080938119</v>
      </c>
    </row>
    <row r="123" spans="1:17" x14ac:dyDescent="0.3">
      <c r="A123" s="15" t="s">
        <v>167</v>
      </c>
      <c r="B123" s="78">
        <v>2.1344691513085969</v>
      </c>
      <c r="C123" s="33">
        <v>3.1768220605234387</v>
      </c>
      <c r="D123" s="34">
        <v>3.6040000000000001</v>
      </c>
      <c r="E123" s="35">
        <v>3.8505000000000003</v>
      </c>
      <c r="F123" s="60">
        <f t="shared" si="1"/>
        <v>5.1768220605234383</v>
      </c>
      <c r="M123" s="66">
        <v>3.4963754323752476</v>
      </c>
      <c r="N123" s="33">
        <v>3.6209999999999996</v>
      </c>
      <c r="Q123" s="33">
        <v>2.1344691513085969</v>
      </c>
    </row>
    <row r="124" spans="1:17" x14ac:dyDescent="0.3">
      <c r="A124" s="15" t="s">
        <v>168</v>
      </c>
      <c r="B124" s="78">
        <v>0.95388573976221958</v>
      </c>
      <c r="C124" s="33">
        <v>1.8281482959048878</v>
      </c>
      <c r="D124" s="34">
        <v>3.5189999999999997</v>
      </c>
      <c r="E124" s="35">
        <v>3.9354999999999998</v>
      </c>
      <c r="F124" s="60">
        <f t="shared" si="1"/>
        <v>3.8281482959048878</v>
      </c>
      <c r="M124" s="66">
        <v>3.1768220605234387</v>
      </c>
      <c r="N124" s="33">
        <v>3.774</v>
      </c>
      <c r="Q124" s="33">
        <v>0.95388573976221958</v>
      </c>
    </row>
    <row r="125" spans="1:17" x14ac:dyDescent="0.3">
      <c r="A125" s="15" t="s">
        <v>169</v>
      </c>
      <c r="B125" s="78">
        <v>1.0463920713342141</v>
      </c>
      <c r="C125" s="33">
        <v>2.0054392285336857</v>
      </c>
      <c r="D125" s="34">
        <v>3.706</v>
      </c>
      <c r="E125" s="35">
        <v>3.8419999999999996</v>
      </c>
      <c r="F125" s="60">
        <f t="shared" si="1"/>
        <v>4.0054392285336853</v>
      </c>
      <c r="M125" s="66">
        <v>1.8281482959048878</v>
      </c>
      <c r="N125" s="33">
        <v>3.6889999999999996</v>
      </c>
      <c r="Q125" s="33">
        <v>1.0463920713342141</v>
      </c>
    </row>
    <row r="126" spans="1:17" x14ac:dyDescent="0.3">
      <c r="A126" s="15" t="s">
        <v>170</v>
      </c>
      <c r="B126" s="78">
        <v>0.7759255953782429</v>
      </c>
      <c r="C126" s="33">
        <v>1.4907130381512972</v>
      </c>
      <c r="D126" s="34">
        <v>3.6549999999999998</v>
      </c>
      <c r="E126" s="35">
        <v>3.6804999999999999</v>
      </c>
      <c r="F126" s="60">
        <f t="shared" si="1"/>
        <v>3.4907130381512972</v>
      </c>
      <c r="M126" s="66">
        <v>2.0054392285336857</v>
      </c>
      <c r="N126" s="33">
        <v>4.0884999999999998</v>
      </c>
      <c r="Q126" s="33">
        <v>0.7759255953782429</v>
      </c>
    </row>
    <row r="127" spans="1:17" x14ac:dyDescent="0.3">
      <c r="A127" s="15" t="s">
        <v>171</v>
      </c>
      <c r="B127" s="78">
        <v>1.3662664841460166</v>
      </c>
      <c r="C127" s="33">
        <v>2.6248795936584064</v>
      </c>
      <c r="D127" s="34">
        <v>3.8505000000000003</v>
      </c>
      <c r="E127" s="35">
        <v>3.9015</v>
      </c>
      <c r="F127" s="60">
        <f t="shared" si="1"/>
        <v>4.624879593658406</v>
      </c>
      <c r="M127" s="66">
        <v>1.4907130381512972</v>
      </c>
      <c r="N127" s="33">
        <v>3.8165</v>
      </c>
      <c r="Q127" s="33">
        <v>1.3662664841460166</v>
      </c>
    </row>
    <row r="128" spans="1:17" x14ac:dyDescent="0.3">
      <c r="A128" s="15" t="s">
        <v>172</v>
      </c>
      <c r="B128" s="78">
        <v>1.1897686955085869</v>
      </c>
      <c r="C128" s="33">
        <v>2.2802244782034347</v>
      </c>
      <c r="D128" s="34">
        <v>4.8194999999999997</v>
      </c>
      <c r="E128" s="35">
        <v>4.7004999999999999</v>
      </c>
      <c r="F128" s="60">
        <f t="shared" si="1"/>
        <v>4.2802244782034347</v>
      </c>
      <c r="M128" s="66">
        <v>2.6248795936584064</v>
      </c>
      <c r="N128" s="33">
        <v>4.3944999999999999</v>
      </c>
      <c r="Q128" s="33">
        <v>1.1897686955085869</v>
      </c>
    </row>
    <row r="129" spans="1:17" x14ac:dyDescent="0.3">
      <c r="A129" s="15" t="s">
        <v>173</v>
      </c>
      <c r="B129" s="78">
        <v>1.1303561248348748</v>
      </c>
      <c r="C129" s="33">
        <v>2.16635864993395</v>
      </c>
      <c r="D129" s="34">
        <v>4.9724999999999993</v>
      </c>
      <c r="E129" s="35">
        <v>5.3719999999999999</v>
      </c>
      <c r="F129" s="60">
        <f t="shared" si="1"/>
        <v>4.16635864993395</v>
      </c>
      <c r="M129" s="66">
        <v>2.2802244782034347</v>
      </c>
      <c r="N129" s="33">
        <v>4.9384999999999994</v>
      </c>
      <c r="Q129" s="33">
        <v>1.1303561248348748</v>
      </c>
    </row>
    <row r="130" spans="1:17" x14ac:dyDescent="0.3">
      <c r="A130" s="15" t="s">
        <v>174</v>
      </c>
      <c r="B130" s="78">
        <v>0.58008464741197474</v>
      </c>
      <c r="C130" s="33">
        <v>1.3065222589647898</v>
      </c>
      <c r="D130" s="34">
        <v>4.84</v>
      </c>
      <c r="E130" s="35">
        <v>5.1360000000000001</v>
      </c>
      <c r="F130" s="60">
        <f t="shared" si="1"/>
        <v>3.3065222589647898</v>
      </c>
      <c r="M130" s="66">
        <v>2.16635864993395</v>
      </c>
      <c r="N130" s="33">
        <v>4.4479999999999995</v>
      </c>
      <c r="Q130" s="33">
        <v>0.58008464741197474</v>
      </c>
    </row>
    <row r="131" spans="1:17" x14ac:dyDescent="0.3">
      <c r="A131" s="15" t="s">
        <v>175</v>
      </c>
      <c r="B131" s="78">
        <v>0.48683748868587862</v>
      </c>
      <c r="C131" s="33">
        <v>1.1038945954743515</v>
      </c>
      <c r="D131" s="34">
        <v>4.9840000000000009</v>
      </c>
      <c r="E131" s="35">
        <v>5.3920000000000003</v>
      </c>
      <c r="F131" s="60">
        <f t="shared" si="1"/>
        <v>3.1038945954743515</v>
      </c>
      <c r="M131" s="66">
        <v>1.3065222589647898</v>
      </c>
      <c r="N131" s="33">
        <v>5.120000000000001</v>
      </c>
      <c r="Q131" s="33">
        <v>0.48683748868587862</v>
      </c>
    </row>
    <row r="132" spans="1:17" x14ac:dyDescent="0.3">
      <c r="A132" s="15" t="s">
        <v>176</v>
      </c>
      <c r="B132" s="78">
        <v>1.1870879499094018</v>
      </c>
      <c r="C132" s="33">
        <v>1.1870879499094018</v>
      </c>
      <c r="D132" s="34">
        <v>5.3969999999999994</v>
      </c>
      <c r="E132" s="35">
        <v>4.7669999999999995</v>
      </c>
      <c r="F132" s="60">
        <f t="shared" ref="F132:F170" si="2">C132+2</f>
        <v>3.1870879499094018</v>
      </c>
      <c r="M132" s="66">
        <v>1.1038945954743515</v>
      </c>
      <c r="N132" s="33">
        <v>4.6759999999999993</v>
      </c>
      <c r="Q132" s="33">
        <v>1.1870879499094018</v>
      </c>
    </row>
    <row r="133" spans="1:17" x14ac:dyDescent="0.3">
      <c r="A133" s="15" t="s">
        <v>177</v>
      </c>
      <c r="B133" s="78">
        <v>3.0156675711066638</v>
      </c>
      <c r="C133" s="33">
        <v>3.0156675711066638</v>
      </c>
      <c r="D133" s="34">
        <v>2.95</v>
      </c>
      <c r="E133" s="35">
        <v>2.9649999999999999</v>
      </c>
      <c r="F133" s="60">
        <f t="shared" si="2"/>
        <v>5.0156675711066638</v>
      </c>
      <c r="M133" s="66">
        <v>1.1870879499094018</v>
      </c>
      <c r="N133" s="33">
        <v>3</v>
      </c>
      <c r="Q133" s="33">
        <v>3.0156675711066638</v>
      </c>
    </row>
    <row r="134" spans="1:17" x14ac:dyDescent="0.3">
      <c r="A134" s="15" t="s">
        <v>178</v>
      </c>
      <c r="B134" s="78">
        <v>2.2550894413891998</v>
      </c>
      <c r="C134" s="33">
        <v>2.2550894413891998</v>
      </c>
      <c r="D134" s="34">
        <v>3.1549999999999998</v>
      </c>
      <c r="E134" s="35">
        <v>2.8450000000000002</v>
      </c>
      <c r="F134" s="60">
        <f t="shared" si="2"/>
        <v>4.2550894413891998</v>
      </c>
      <c r="M134" s="66">
        <v>3.0156675711066638</v>
      </c>
      <c r="N134" s="33">
        <v>3</v>
      </c>
      <c r="Q134" s="33">
        <v>2.2550894413891998</v>
      </c>
    </row>
    <row r="135" spans="1:17" x14ac:dyDescent="0.3">
      <c r="A135" s="15" t="s">
        <v>179</v>
      </c>
      <c r="B135" s="78">
        <v>2.0009078729838707</v>
      </c>
      <c r="C135" s="33">
        <v>2.0009078729838707</v>
      </c>
      <c r="D135" s="34">
        <v>2.2435</v>
      </c>
      <c r="E135" s="35">
        <v>2.569</v>
      </c>
      <c r="F135" s="60">
        <f t="shared" si="2"/>
        <v>4.0009078729838707</v>
      </c>
      <c r="M135" s="66">
        <v>2.2550894413891998</v>
      </c>
      <c r="N135" s="33">
        <v>2.1385000000000001</v>
      </c>
      <c r="Q135" s="33">
        <v>2.0009078729838707</v>
      </c>
    </row>
    <row r="136" spans="1:17" x14ac:dyDescent="0.3">
      <c r="A136" s="15" t="s">
        <v>180</v>
      </c>
      <c r="B136" s="78">
        <v>5.3987069575871818</v>
      </c>
      <c r="C136" s="33">
        <v>5.3987069575871818</v>
      </c>
      <c r="D136" s="34">
        <v>2.786</v>
      </c>
      <c r="E136" s="35">
        <v>3.0939999999999999</v>
      </c>
      <c r="F136" s="60">
        <f t="shared" si="2"/>
        <v>7.3987069575871818</v>
      </c>
      <c r="M136" s="66">
        <v>2.0009078729838707</v>
      </c>
      <c r="N136" s="33">
        <v>2.9994999999999998</v>
      </c>
      <c r="Q136" s="33">
        <v>5.3987069575871818</v>
      </c>
    </row>
    <row r="137" spans="1:17" x14ac:dyDescent="0.3">
      <c r="A137" s="15" t="s">
        <v>181</v>
      </c>
      <c r="B137" s="78">
        <v>4.4170420793010781</v>
      </c>
      <c r="C137" s="33">
        <v>4.4170420793010781</v>
      </c>
      <c r="D137" s="34">
        <v>2.4569999999999999</v>
      </c>
      <c r="E137" s="35">
        <v>2.7054999999999998</v>
      </c>
      <c r="F137" s="60">
        <f t="shared" si="2"/>
        <v>6.4170420793010781</v>
      </c>
      <c r="M137" s="66">
        <v>5.3987069575871818</v>
      </c>
      <c r="N137" s="33">
        <v>2.6074999999999999</v>
      </c>
      <c r="Q137" s="33">
        <v>4.4170420793010781</v>
      </c>
    </row>
    <row r="138" spans="1:17" x14ac:dyDescent="0.3">
      <c r="A138" s="15" t="s">
        <v>182</v>
      </c>
      <c r="B138" s="78">
        <v>3.674085260238571</v>
      </c>
      <c r="C138" s="33">
        <v>3.674085260238571</v>
      </c>
      <c r="D138" s="34">
        <v>3.6749999999999998</v>
      </c>
      <c r="E138" s="35">
        <v>3.7650000000000001</v>
      </c>
      <c r="F138" s="60">
        <f t="shared" si="2"/>
        <v>5.674085260238571</v>
      </c>
      <c r="M138" s="66">
        <v>4.4170420793010781</v>
      </c>
      <c r="N138" s="33">
        <v>3.54</v>
      </c>
      <c r="Q138" s="33">
        <v>3.674085260238571</v>
      </c>
    </row>
    <row r="139" spans="1:17" x14ac:dyDescent="0.3">
      <c r="A139" s="15" t="s">
        <v>183</v>
      </c>
      <c r="B139" s="78">
        <v>2.7939877598840228</v>
      </c>
      <c r="C139" s="33">
        <v>2.7939877598840228</v>
      </c>
      <c r="D139" s="34">
        <v>2.8650000000000002</v>
      </c>
      <c r="E139" s="35">
        <v>2.75</v>
      </c>
      <c r="F139" s="60">
        <f t="shared" si="2"/>
        <v>4.7939877598840228</v>
      </c>
      <c r="M139" s="66">
        <v>3.674085260238571</v>
      </c>
      <c r="N139" s="33">
        <v>2.9049999999999998</v>
      </c>
      <c r="Q139" s="33">
        <v>2.7939877598840228</v>
      </c>
    </row>
    <row r="140" spans="1:17" x14ac:dyDescent="0.3">
      <c r="A140" s="15" t="s">
        <v>184</v>
      </c>
      <c r="B140" s="78">
        <v>3.6659592088220725</v>
      </c>
      <c r="C140" s="33">
        <v>3.6659592088220725</v>
      </c>
      <c r="D140" s="34">
        <v>5.22</v>
      </c>
      <c r="E140" s="35">
        <v>5.19</v>
      </c>
      <c r="F140" s="60">
        <f t="shared" si="2"/>
        <v>5.6659592088220725</v>
      </c>
      <c r="M140" s="66">
        <v>2.7939877598840228</v>
      </c>
      <c r="N140" s="33">
        <v>4.919999999999999</v>
      </c>
      <c r="Q140" s="33">
        <v>3.6659592088220725</v>
      </c>
    </row>
    <row r="141" spans="1:17" x14ac:dyDescent="0.3">
      <c r="A141" s="15" t="s">
        <v>185</v>
      </c>
      <c r="B141" s="78">
        <v>3.0853422470619383</v>
      </c>
      <c r="C141" s="33">
        <v>4.2323626988247751</v>
      </c>
      <c r="D141" s="34">
        <v>7.0560000000000009</v>
      </c>
      <c r="E141" s="35">
        <v>6.9840000000000009</v>
      </c>
      <c r="F141" s="60">
        <f t="shared" si="2"/>
        <v>6.2323626988247751</v>
      </c>
      <c r="M141" s="66">
        <v>3.6659592088220725</v>
      </c>
      <c r="N141" s="33">
        <v>6.7360000000000007</v>
      </c>
      <c r="Q141" s="33">
        <v>3.0853422470619383</v>
      </c>
    </row>
    <row r="142" spans="1:17" x14ac:dyDescent="0.3">
      <c r="A142" s="15" t="s">
        <v>186</v>
      </c>
      <c r="B142" s="78">
        <v>2.0235551311798741</v>
      </c>
      <c r="C142" s="33">
        <v>3.2911150524719495</v>
      </c>
      <c r="D142" s="34">
        <v>6.5840000000000005</v>
      </c>
      <c r="E142" s="35">
        <v>7.2240000000000002</v>
      </c>
      <c r="F142" s="60">
        <f t="shared" si="2"/>
        <v>5.2911150524719499</v>
      </c>
      <c r="M142" s="66">
        <v>4.2323626988247751</v>
      </c>
      <c r="N142" s="33">
        <v>6.9120000000000008</v>
      </c>
      <c r="Q142" s="33">
        <v>2.0235551311798741</v>
      </c>
    </row>
    <row r="143" spans="1:17" x14ac:dyDescent="0.3">
      <c r="A143" s="15" t="s">
        <v>187</v>
      </c>
      <c r="B143" s="78">
        <v>6.6492978671954104</v>
      </c>
      <c r="C143" s="33">
        <v>7.7133457468781641</v>
      </c>
      <c r="D143" s="34">
        <v>5.2785000000000002</v>
      </c>
      <c r="E143" s="35">
        <v>5.1935000000000002</v>
      </c>
      <c r="F143" s="60">
        <f t="shared" si="2"/>
        <v>9.713345746878165</v>
      </c>
      <c r="M143" s="66">
        <v>3.2911150524719495</v>
      </c>
      <c r="N143" s="33">
        <v>5.9755000000000003</v>
      </c>
      <c r="Q143" s="33">
        <v>6.6492978671954104</v>
      </c>
    </row>
    <row r="144" spans="1:17" x14ac:dyDescent="0.3">
      <c r="A144" s="15" t="s">
        <v>188</v>
      </c>
      <c r="B144" s="78">
        <v>6.50397479155881</v>
      </c>
      <c r="C144" s="33">
        <v>7.1626993166235238</v>
      </c>
      <c r="D144" s="34">
        <v>4.2924999999999995</v>
      </c>
      <c r="E144" s="35">
        <v>4.8704999999999998</v>
      </c>
      <c r="F144" s="60">
        <f t="shared" si="2"/>
        <v>9.1626993166235238</v>
      </c>
      <c r="M144" s="66">
        <v>7.7133457468781641</v>
      </c>
      <c r="N144" s="33">
        <v>5.0744999999999996</v>
      </c>
      <c r="Q144" s="33">
        <v>6.50397479155881</v>
      </c>
    </row>
    <row r="145" spans="1:17" x14ac:dyDescent="0.3">
      <c r="A145" s="15" t="s">
        <v>189</v>
      </c>
      <c r="B145" s="78">
        <v>3.5431293251487066</v>
      </c>
      <c r="C145" s="33">
        <v>4.5272323300594826</v>
      </c>
      <c r="D145" s="34">
        <v>4.6665000000000001</v>
      </c>
      <c r="E145" s="35">
        <v>4.9554999999999998</v>
      </c>
      <c r="F145" s="60">
        <f t="shared" si="2"/>
        <v>6.5272323300594826</v>
      </c>
      <c r="M145" s="66">
        <v>7.1626993166235238</v>
      </c>
      <c r="N145" s="33">
        <v>5.4654999999999996</v>
      </c>
      <c r="Q145" s="33">
        <v>3.5431293251487066</v>
      </c>
    </row>
    <row r="146" spans="1:17" x14ac:dyDescent="0.3">
      <c r="A146" s="15" t="s">
        <v>190</v>
      </c>
      <c r="B146" s="78">
        <v>2.2160337118889037</v>
      </c>
      <c r="C146" s="33">
        <v>3.0053506847555616</v>
      </c>
      <c r="D146" s="34">
        <v>4.7854999999999999</v>
      </c>
      <c r="E146" s="35">
        <v>4.9894999999999996</v>
      </c>
      <c r="F146" s="60">
        <f t="shared" si="2"/>
        <v>5.0053506847555616</v>
      </c>
      <c r="M146" s="66">
        <v>4.5272323300594826</v>
      </c>
      <c r="N146" s="33">
        <v>4.9980000000000002</v>
      </c>
      <c r="Q146" s="33">
        <v>2.2160337118889037</v>
      </c>
    </row>
    <row r="147" spans="1:17" x14ac:dyDescent="0.3">
      <c r="A147" s="15" t="s">
        <v>191</v>
      </c>
      <c r="B147" s="78">
        <v>1.3373176470643058</v>
      </c>
      <c r="C147" s="33">
        <v>1.9903872588257223</v>
      </c>
      <c r="D147" s="34">
        <v>3.57</v>
      </c>
      <c r="E147" s="35">
        <v>4.25</v>
      </c>
      <c r="F147" s="60">
        <f t="shared" si="2"/>
        <v>3.9903872588257223</v>
      </c>
      <c r="M147" s="66">
        <v>3.0053506847555616</v>
      </c>
      <c r="N147" s="33">
        <v>3.774</v>
      </c>
      <c r="Q147" s="33">
        <v>1.3373176470643058</v>
      </c>
    </row>
    <row r="148" spans="1:17" x14ac:dyDescent="0.3">
      <c r="A148" s="15" t="s">
        <v>192</v>
      </c>
      <c r="B148" s="78">
        <v>0.82486414663143981</v>
      </c>
      <c r="C148" s="33">
        <v>1.5808748586525758</v>
      </c>
      <c r="D148" s="34">
        <v>3.57</v>
      </c>
      <c r="E148" s="35">
        <v>4.1989999999999998</v>
      </c>
      <c r="F148" s="60">
        <f t="shared" si="2"/>
        <v>3.5808748586525758</v>
      </c>
      <c r="M148" s="66">
        <v>1.9903872588257223</v>
      </c>
      <c r="N148" s="33">
        <v>3.2555000000000001</v>
      </c>
      <c r="Q148" s="33">
        <v>0.82486414663143981</v>
      </c>
    </row>
    <row r="149" spans="1:17" x14ac:dyDescent="0.3">
      <c r="A149" s="15" t="s">
        <v>193</v>
      </c>
      <c r="B149" s="78">
        <v>1.1531054643328931</v>
      </c>
      <c r="C149" s="33">
        <v>2.2099583857331573</v>
      </c>
      <c r="D149" s="34">
        <v>3.5275000000000003</v>
      </c>
      <c r="E149" s="35">
        <v>4.4284999999999997</v>
      </c>
      <c r="F149" s="60">
        <f t="shared" si="2"/>
        <v>4.2099583857331577</v>
      </c>
      <c r="M149" s="66">
        <v>1.5808748586525758</v>
      </c>
      <c r="N149" s="33">
        <v>3.5189999999999997</v>
      </c>
      <c r="Q149" s="33">
        <v>1.1531054643328931</v>
      </c>
    </row>
    <row r="150" spans="1:17" x14ac:dyDescent="0.3">
      <c r="A150" s="15" t="s">
        <v>194</v>
      </c>
      <c r="B150" s="78">
        <v>0.71674742346728659</v>
      </c>
      <c r="C150" s="33">
        <v>1.3770195693869147</v>
      </c>
      <c r="D150" s="34">
        <v>3.6974999999999998</v>
      </c>
      <c r="E150" s="35">
        <v>4.4029999999999996</v>
      </c>
      <c r="F150" s="60">
        <f t="shared" si="2"/>
        <v>3.3770195693869147</v>
      </c>
      <c r="M150" s="66">
        <v>2.2099583857331573</v>
      </c>
      <c r="N150" s="33">
        <v>3.6720000000000002</v>
      </c>
      <c r="Q150" s="33">
        <v>0.71674742346728659</v>
      </c>
    </row>
    <row r="151" spans="1:17" x14ac:dyDescent="0.3">
      <c r="A151" s="15" t="s">
        <v>195</v>
      </c>
      <c r="B151" s="78">
        <v>0.85331076685318397</v>
      </c>
      <c r="C151" s="33">
        <v>1.6393859067412735</v>
      </c>
      <c r="D151" s="34">
        <v>4.0205000000000002</v>
      </c>
      <c r="E151" s="35">
        <v>4.42</v>
      </c>
      <c r="F151" s="60">
        <f t="shared" si="2"/>
        <v>3.6393859067412735</v>
      </c>
      <c r="M151" s="66">
        <v>1.3770195693869147</v>
      </c>
      <c r="N151" s="33">
        <v>3.2809999999999997</v>
      </c>
      <c r="Q151" s="33">
        <v>0.85331076685318397</v>
      </c>
    </row>
    <row r="152" spans="1:17" x14ac:dyDescent="0.3">
      <c r="A152" s="15" t="s">
        <v>196</v>
      </c>
      <c r="B152" s="78">
        <v>0.88241681043593156</v>
      </c>
      <c r="C152" s="33">
        <v>1.6911761241743726</v>
      </c>
      <c r="D152" s="34">
        <v>4.6580000000000004</v>
      </c>
      <c r="E152" s="35">
        <v>5.27</v>
      </c>
      <c r="F152" s="60">
        <f t="shared" si="2"/>
        <v>3.6911761241743726</v>
      </c>
      <c r="M152" s="66">
        <v>1.6393859067412735</v>
      </c>
      <c r="N152" s="33">
        <v>4.1395</v>
      </c>
      <c r="Q152" s="33">
        <v>0.88241681043593156</v>
      </c>
    </row>
    <row r="153" spans="1:17" x14ac:dyDescent="0.3">
      <c r="A153" s="15" t="s">
        <v>197</v>
      </c>
      <c r="B153" s="78">
        <v>0.57442121796565404</v>
      </c>
      <c r="C153" s="33">
        <v>1.1008940871862616</v>
      </c>
      <c r="D153" s="34">
        <v>5.0235000000000003</v>
      </c>
      <c r="E153" s="35">
        <v>5.9074999999999998</v>
      </c>
      <c r="F153" s="60">
        <f t="shared" si="2"/>
        <v>3.1008940871862616</v>
      </c>
      <c r="M153" s="66">
        <v>1.6911761241743726</v>
      </c>
      <c r="N153" s="33">
        <v>4.7089999999999996</v>
      </c>
      <c r="Q153" s="33">
        <v>0.57442121796565404</v>
      </c>
    </row>
    <row r="154" spans="1:17" x14ac:dyDescent="0.3">
      <c r="A154" s="15" t="s">
        <v>198</v>
      </c>
      <c r="B154" s="78">
        <v>0.4426142770836714</v>
      </c>
      <c r="C154" s="33">
        <v>0.99689831083346858</v>
      </c>
      <c r="D154" s="34">
        <v>4.7840000000000007</v>
      </c>
      <c r="E154" s="35">
        <v>5.5600000000000005</v>
      </c>
      <c r="F154" s="60">
        <f t="shared" si="2"/>
        <v>2.9968983108334686</v>
      </c>
      <c r="M154" s="66">
        <v>1.1008940871862616</v>
      </c>
      <c r="N154" s="33">
        <v>4.7280000000000006</v>
      </c>
      <c r="Q154" s="33">
        <v>0.4426142770836714</v>
      </c>
    </row>
    <row r="155" spans="1:17" x14ac:dyDescent="0.3">
      <c r="A155" s="15" t="s">
        <v>199</v>
      </c>
      <c r="B155" s="78">
        <v>0.52344573907613778</v>
      </c>
      <c r="C155" s="33">
        <v>1.1869030956304552</v>
      </c>
      <c r="D155" s="34">
        <v>5.16</v>
      </c>
      <c r="E155" s="35">
        <v>6.1360000000000001</v>
      </c>
      <c r="F155" s="60">
        <f t="shared" si="2"/>
        <v>3.1869030956304552</v>
      </c>
      <c r="M155" s="66">
        <v>0.99689831083346858</v>
      </c>
      <c r="N155" s="33">
        <v>5.0960000000000001</v>
      </c>
      <c r="Q155" s="33">
        <v>0.52344573907613778</v>
      </c>
    </row>
    <row r="156" spans="1:17" x14ac:dyDescent="0.3">
      <c r="A156" s="15" t="s">
        <v>200</v>
      </c>
      <c r="B156" s="78">
        <v>1.1743806236844421</v>
      </c>
      <c r="C156" s="33">
        <v>1.1743806236844421</v>
      </c>
      <c r="D156" s="34">
        <v>4.6339999999999995</v>
      </c>
      <c r="E156" s="35">
        <v>5.5019999999999998</v>
      </c>
      <c r="F156" s="60">
        <f t="shared" si="2"/>
        <v>3.1743806236844421</v>
      </c>
      <c r="M156" s="66">
        <v>1.1869030956304552</v>
      </c>
      <c r="N156" s="33">
        <v>4.6479999999999997</v>
      </c>
      <c r="Q156" s="33">
        <v>1.1743806236844421</v>
      </c>
    </row>
    <row r="157" spans="1:17" x14ac:dyDescent="0.3">
      <c r="A157" s="15" t="s">
        <v>201</v>
      </c>
      <c r="B157" s="78">
        <v>3.3827816848142955</v>
      </c>
      <c r="C157" s="33">
        <v>3.3827816848142955</v>
      </c>
      <c r="D157" s="34">
        <v>2.9550000000000001</v>
      </c>
      <c r="E157" s="35">
        <v>3.4</v>
      </c>
      <c r="F157" s="60">
        <f t="shared" si="2"/>
        <v>5.3827816848142955</v>
      </c>
      <c r="M157" s="66">
        <v>1.1743806236844421</v>
      </c>
      <c r="N157" s="33">
        <v>2.79</v>
      </c>
      <c r="Q157" s="33">
        <v>3.3827816848142955</v>
      </c>
    </row>
    <row r="158" spans="1:17" x14ac:dyDescent="0.3">
      <c r="A158" s="15" t="s">
        <v>202</v>
      </c>
      <c r="B158" s="78">
        <v>2.0792546929610314</v>
      </c>
      <c r="C158" s="33">
        <v>2.0792546929610314</v>
      </c>
      <c r="D158" s="34">
        <v>3.03</v>
      </c>
      <c r="E158" s="35">
        <v>3.49</v>
      </c>
      <c r="F158" s="60">
        <f t="shared" si="2"/>
        <v>4.0792546929610314</v>
      </c>
      <c r="M158" s="66">
        <v>3.3827816848142955</v>
      </c>
      <c r="N158" s="33">
        <v>2.81</v>
      </c>
      <c r="Q158" s="33">
        <v>2.0792546929610314</v>
      </c>
    </row>
    <row r="159" spans="1:17" x14ac:dyDescent="0.3">
      <c r="A159" s="15" t="s">
        <v>203</v>
      </c>
      <c r="B159" s="78">
        <v>1.0062612021169355</v>
      </c>
      <c r="C159" s="33">
        <v>1.0062612021169355</v>
      </c>
      <c r="D159" s="34">
        <v>2.3449999999999998</v>
      </c>
      <c r="E159" s="35">
        <v>2.6669999999999998</v>
      </c>
      <c r="F159" s="60">
        <f t="shared" si="2"/>
        <v>3.0062612021169355</v>
      </c>
      <c r="M159" s="66">
        <v>2.0792546929610314</v>
      </c>
      <c r="N159" s="33">
        <v>2.3904999999999998</v>
      </c>
      <c r="Q159" s="33">
        <v>1.0062612021169355</v>
      </c>
    </row>
    <row r="160" spans="1:17" x14ac:dyDescent="0.3">
      <c r="A160" s="15" t="s">
        <v>204</v>
      </c>
      <c r="B160" s="78">
        <v>3.1494641536286525</v>
      </c>
      <c r="C160" s="33">
        <v>3.1494641536286525</v>
      </c>
      <c r="D160" s="34">
        <v>2.8874999999999997</v>
      </c>
      <c r="E160" s="35">
        <v>3.1675</v>
      </c>
      <c r="F160" s="60">
        <f t="shared" si="2"/>
        <v>5.149464153628653</v>
      </c>
      <c r="M160" s="66">
        <v>1.0062612021169355</v>
      </c>
      <c r="N160" s="33">
        <v>2.7264999999999997</v>
      </c>
      <c r="Q160" s="33">
        <v>3.1494641536286525</v>
      </c>
    </row>
    <row r="161" spans="1:17" x14ac:dyDescent="0.3">
      <c r="A161" s="15" t="s">
        <v>205</v>
      </c>
      <c r="B161" s="78">
        <v>3.7826308896411716</v>
      </c>
      <c r="C161" s="33">
        <v>3.7826308896411716</v>
      </c>
      <c r="D161" s="34">
        <v>2.59</v>
      </c>
      <c r="E161" s="35">
        <v>2.9224999999999999</v>
      </c>
      <c r="F161" s="60">
        <f t="shared" si="2"/>
        <v>5.7826308896411716</v>
      </c>
      <c r="M161" s="66">
        <v>3.1494641536286525</v>
      </c>
      <c r="N161" s="33">
        <v>2.3659999999999997</v>
      </c>
      <c r="Q161" s="33">
        <v>3.7826308896411716</v>
      </c>
    </row>
    <row r="162" spans="1:17" x14ac:dyDescent="0.3">
      <c r="A162" s="15" t="s">
        <v>206</v>
      </c>
      <c r="B162" s="78">
        <v>2.0123626318526338</v>
      </c>
      <c r="C162" s="33">
        <v>2.0123626318526338</v>
      </c>
      <c r="D162" s="34">
        <v>3.43</v>
      </c>
      <c r="E162" s="35">
        <v>3.895</v>
      </c>
      <c r="F162" s="60">
        <f t="shared" si="2"/>
        <v>4.0123626318526338</v>
      </c>
      <c r="M162" s="66">
        <v>3.7826308896411716</v>
      </c>
      <c r="N162" s="33">
        <v>3.4550000000000001</v>
      </c>
      <c r="Q162" s="33">
        <v>2.0123626318526338</v>
      </c>
    </row>
    <row r="163" spans="1:17" x14ac:dyDescent="0.3">
      <c r="A163" s="15" t="s">
        <v>207</v>
      </c>
      <c r="B163" s="78">
        <v>3.3440902081593418</v>
      </c>
      <c r="C163" s="33">
        <v>3.3440902081593418</v>
      </c>
      <c r="D163" s="34">
        <v>2.92</v>
      </c>
      <c r="E163" s="35">
        <v>3.38</v>
      </c>
      <c r="F163" s="60">
        <f t="shared" si="2"/>
        <v>5.3440902081593418</v>
      </c>
      <c r="M163" s="66">
        <v>2.0123626318526338</v>
      </c>
      <c r="N163" s="33">
        <v>2.7</v>
      </c>
      <c r="Q163" s="33">
        <v>3.3440902081593418</v>
      </c>
    </row>
    <row r="164" spans="1:17" x14ac:dyDescent="0.3">
      <c r="A164" s="15" t="s">
        <v>208</v>
      </c>
      <c r="B164" s="78">
        <v>2.5665266299189584</v>
      </c>
      <c r="C164" s="33">
        <v>2.5665266299189584</v>
      </c>
      <c r="D164" s="34">
        <v>4.6739999999999995</v>
      </c>
      <c r="E164" s="35">
        <v>5.952</v>
      </c>
      <c r="F164" s="60">
        <f t="shared" si="2"/>
        <v>4.5665266299189584</v>
      </c>
      <c r="M164" s="66">
        <v>3.3440902081593418</v>
      </c>
      <c r="N164" s="33">
        <v>4.6440000000000001</v>
      </c>
      <c r="Q164" s="33">
        <v>2.5665266299189584</v>
      </c>
    </row>
    <row r="165" spans="1:17" x14ac:dyDescent="0.3">
      <c r="A165" s="15" t="s">
        <v>209</v>
      </c>
      <c r="B165" s="78">
        <v>2.4247259588932755</v>
      </c>
      <c r="C165" s="33">
        <v>3.3261527835573101</v>
      </c>
      <c r="D165" s="34">
        <v>6.8640000000000008</v>
      </c>
      <c r="E165" s="35">
        <v>7.96</v>
      </c>
      <c r="F165" s="60">
        <f t="shared" si="2"/>
        <v>5.3261527835573101</v>
      </c>
      <c r="M165" s="66">
        <v>2.5665266299189584</v>
      </c>
      <c r="N165" s="33">
        <v>6.8560000000000008</v>
      </c>
      <c r="Q165" s="33">
        <v>2.4247259588932755</v>
      </c>
    </row>
    <row r="166" spans="1:17" x14ac:dyDescent="0.3">
      <c r="A166" s="15" t="s">
        <v>210</v>
      </c>
      <c r="B166" s="78">
        <v>1.6791600307016727</v>
      </c>
      <c r="C166" s="33">
        <v>2.7309900122806692</v>
      </c>
      <c r="D166" s="34">
        <v>6.8000000000000007</v>
      </c>
      <c r="E166" s="35">
        <v>8.4320000000000004</v>
      </c>
      <c r="F166" s="60">
        <f t="shared" si="2"/>
        <v>4.7309900122806692</v>
      </c>
      <c r="M166" s="66">
        <v>3.3261527835573101</v>
      </c>
      <c r="N166" s="33">
        <v>6.4720000000000004</v>
      </c>
      <c r="Q166" s="33">
        <v>1.6791600307016727</v>
      </c>
    </row>
    <row r="167" spans="1:17" x14ac:dyDescent="0.3">
      <c r="A167" s="15" t="s">
        <v>211</v>
      </c>
      <c r="B167" s="78">
        <v>6.5311710861074461</v>
      </c>
      <c r="C167" s="33">
        <v>7.576315834442978</v>
      </c>
      <c r="D167" s="34">
        <v>5.2614999999999998</v>
      </c>
      <c r="E167" s="35">
        <v>5.8224999999999998</v>
      </c>
      <c r="F167" s="60">
        <f t="shared" si="2"/>
        <v>9.576315834442978</v>
      </c>
      <c r="M167" s="66">
        <v>2.7309900122806692</v>
      </c>
      <c r="N167" s="33">
        <v>4.7854999999999999</v>
      </c>
      <c r="Q167" s="33">
        <v>6.5311710861074461</v>
      </c>
    </row>
    <row r="168" spans="1:17" x14ac:dyDescent="0.3">
      <c r="A168" s="15" t="s">
        <v>212</v>
      </c>
      <c r="B168" s="78">
        <v>2.147474266273123</v>
      </c>
      <c r="C168" s="33">
        <v>2.3649711065092491</v>
      </c>
      <c r="D168" s="34">
        <v>4.6494999999999997</v>
      </c>
      <c r="E168" s="35">
        <v>5.7374999999999998</v>
      </c>
      <c r="F168" s="60">
        <f t="shared" si="2"/>
        <v>4.3649711065092491</v>
      </c>
      <c r="M168" s="66">
        <v>7.576315834442978</v>
      </c>
      <c r="N168" s="33">
        <v>4.6919999999999993</v>
      </c>
      <c r="Q168" s="33">
        <v>2.147474266273123</v>
      </c>
    </row>
    <row r="169" spans="1:17" x14ac:dyDescent="0.3">
      <c r="A169" s="15" t="s">
        <v>213</v>
      </c>
      <c r="B169" s="78">
        <v>2.4664360137640058</v>
      </c>
      <c r="C169" s="33">
        <v>3.1514878055056021</v>
      </c>
      <c r="D169" s="34">
        <v>4.8365</v>
      </c>
      <c r="E169" s="35">
        <v>5.4314999999999998</v>
      </c>
      <c r="F169" s="60">
        <f t="shared" si="2"/>
        <v>5.1514878055056021</v>
      </c>
      <c r="M169" s="66">
        <v>2.3649711065092491</v>
      </c>
      <c r="N169" s="33">
        <v>4.7089999999999996</v>
      </c>
      <c r="Q169" s="33">
        <v>2.4664360137640058</v>
      </c>
    </row>
    <row r="170" spans="1:17" ht="15" thickBot="1" x14ac:dyDescent="0.35">
      <c r="A170" s="15" t="s">
        <v>45</v>
      </c>
      <c r="B170" s="78">
        <v>1.7111257425536033</v>
      </c>
      <c r="C170" s="36">
        <v>2.3206022970214413</v>
      </c>
      <c r="D170" s="37">
        <v>5.2529999999999992</v>
      </c>
      <c r="E170" s="38">
        <v>5.3719999999999999</v>
      </c>
      <c r="F170" s="60">
        <f t="shared" si="2"/>
        <v>4.3206022970214413</v>
      </c>
      <c r="M170" s="66">
        <v>3.1514878055056021</v>
      </c>
      <c r="N170" s="36">
        <v>4.7770000000000001</v>
      </c>
      <c r="Q170" s="36">
        <v>1.7111257425536033</v>
      </c>
    </row>
    <row r="171" spans="1:17" s="1" customFormat="1" x14ac:dyDescent="0.3">
      <c r="M171" s="66">
        <v>2.3206022970214413</v>
      </c>
    </row>
    <row r="172" spans="1:17" s="1" customFormat="1" x14ac:dyDescent="0.3"/>
    <row r="173" spans="1:17" s="1" customFormat="1" x14ac:dyDescent="0.3"/>
    <row r="174" spans="1:17" s="1" customFormat="1" x14ac:dyDescent="0.3"/>
    <row r="175" spans="1:17" s="1" customFormat="1" x14ac:dyDescent="0.3"/>
    <row r="176" spans="1:17" s="1" customFormat="1" x14ac:dyDescent="0.3"/>
    <row r="177" s="1" customFormat="1" x14ac:dyDescent="0.3"/>
    <row r="178" s="1" customFormat="1" x14ac:dyDescent="0.3"/>
    <row r="179" s="1" customFormat="1" x14ac:dyDescent="0.3"/>
    <row r="180" s="1" customFormat="1" x14ac:dyDescent="0.3"/>
    <row r="181" s="1" customFormat="1" x14ac:dyDescent="0.3"/>
    <row r="182" s="1" customFormat="1" x14ac:dyDescent="0.3"/>
    <row r="183" s="1" customFormat="1" x14ac:dyDescent="0.3"/>
    <row r="184" s="1" customFormat="1" x14ac:dyDescent="0.3"/>
    <row r="185" s="1" customFormat="1" x14ac:dyDescent="0.3"/>
    <row r="186" s="1" customFormat="1" x14ac:dyDescent="0.3"/>
    <row r="187" s="1" customFormat="1" x14ac:dyDescent="0.3"/>
    <row r="188" s="1" customFormat="1" x14ac:dyDescent="0.3"/>
    <row r="189" s="1" customFormat="1" x14ac:dyDescent="0.3"/>
    <row r="190" s="1" customFormat="1" x14ac:dyDescent="0.3"/>
    <row r="191" s="1" customFormat="1" x14ac:dyDescent="0.3"/>
    <row r="192" s="1" customFormat="1" x14ac:dyDescent="0.3"/>
    <row r="193" s="1" customFormat="1" x14ac:dyDescent="0.3"/>
    <row r="194" s="1" customFormat="1" x14ac:dyDescent="0.3"/>
    <row r="195" s="1" customFormat="1" x14ac:dyDescent="0.3"/>
    <row r="196" s="1" customFormat="1" x14ac:dyDescent="0.3"/>
    <row r="197" s="1" customFormat="1" x14ac:dyDescent="0.3"/>
    <row r="198" s="1" customFormat="1" x14ac:dyDescent="0.3"/>
    <row r="199" s="1" customFormat="1" x14ac:dyDescent="0.3"/>
    <row r="200" s="1" customFormat="1" x14ac:dyDescent="0.3"/>
    <row r="201" s="1" customFormat="1" x14ac:dyDescent="0.3"/>
    <row r="202" s="1" customFormat="1" x14ac:dyDescent="0.3"/>
    <row r="203" s="1" customFormat="1" x14ac:dyDescent="0.3"/>
    <row r="204" s="1" customFormat="1" x14ac:dyDescent="0.3"/>
    <row r="205" s="1" customFormat="1" x14ac:dyDescent="0.3"/>
    <row r="206" s="1" customFormat="1" x14ac:dyDescent="0.3"/>
    <row r="207" s="1" customFormat="1" x14ac:dyDescent="0.3"/>
    <row r="208" s="1" customFormat="1" x14ac:dyDescent="0.3"/>
    <row r="209" s="1" customFormat="1" x14ac:dyDescent="0.3"/>
    <row r="210" s="1" customFormat="1" x14ac:dyDescent="0.3"/>
    <row r="211" s="1" customFormat="1" x14ac:dyDescent="0.3"/>
    <row r="212" s="1" customFormat="1" x14ac:dyDescent="0.3"/>
    <row r="213" s="1" customFormat="1" x14ac:dyDescent="0.3"/>
    <row r="214" s="1" customFormat="1" x14ac:dyDescent="0.3"/>
    <row r="215" s="1" customFormat="1" x14ac:dyDescent="0.3"/>
    <row r="216" s="1" customFormat="1" x14ac:dyDescent="0.3"/>
    <row r="217" s="1" customFormat="1" x14ac:dyDescent="0.3"/>
    <row r="218" s="1" customFormat="1" x14ac:dyDescent="0.3"/>
    <row r="219" s="1" customFormat="1" x14ac:dyDescent="0.3"/>
    <row r="220" s="1" customFormat="1" x14ac:dyDescent="0.3"/>
    <row r="221" s="1" customFormat="1" x14ac:dyDescent="0.3"/>
    <row r="222" s="1" customFormat="1" x14ac:dyDescent="0.3"/>
    <row r="223" s="1" customFormat="1" x14ac:dyDescent="0.3"/>
    <row r="224" s="1" customFormat="1" x14ac:dyDescent="0.3"/>
    <row r="225" s="1" customFormat="1" x14ac:dyDescent="0.3"/>
    <row r="226" s="1" customFormat="1" x14ac:dyDescent="0.3"/>
    <row r="227" s="1" customFormat="1" x14ac:dyDescent="0.3"/>
    <row r="228" s="1" customFormat="1" x14ac:dyDescent="0.3"/>
    <row r="229" s="1" customFormat="1" x14ac:dyDescent="0.3"/>
    <row r="230" s="1" customFormat="1" x14ac:dyDescent="0.3"/>
    <row r="231" s="1" customFormat="1" x14ac:dyDescent="0.3"/>
    <row r="232" s="1" customFormat="1" x14ac:dyDescent="0.3"/>
    <row r="233" s="1" customFormat="1" x14ac:dyDescent="0.3"/>
    <row r="234" s="1" customFormat="1" x14ac:dyDescent="0.3"/>
    <row r="235" s="1" customFormat="1" x14ac:dyDescent="0.3"/>
    <row r="236" s="1" customFormat="1" x14ac:dyDescent="0.3"/>
    <row r="237" s="1" customFormat="1" x14ac:dyDescent="0.3"/>
    <row r="238" s="1" customFormat="1" x14ac:dyDescent="0.3"/>
    <row r="239" s="1" customFormat="1" x14ac:dyDescent="0.3"/>
    <row r="240" s="1" customFormat="1" x14ac:dyDescent="0.3"/>
    <row r="241" s="1" customFormat="1" x14ac:dyDescent="0.3"/>
    <row r="242" s="1" customFormat="1" x14ac:dyDescent="0.3"/>
    <row r="243" s="1" customFormat="1" x14ac:dyDescent="0.3"/>
    <row r="244" s="1" customFormat="1" x14ac:dyDescent="0.3"/>
    <row r="245" s="1" customFormat="1" x14ac:dyDescent="0.3"/>
    <row r="246" s="1" customFormat="1" x14ac:dyDescent="0.3"/>
    <row r="247" s="1" customFormat="1" x14ac:dyDescent="0.3"/>
    <row r="248" s="1" customFormat="1" x14ac:dyDescent="0.3"/>
    <row r="249" s="1" customFormat="1" x14ac:dyDescent="0.3"/>
    <row r="250" s="1" customFormat="1" x14ac:dyDescent="0.3"/>
    <row r="251" s="1" customFormat="1" x14ac:dyDescent="0.3"/>
    <row r="252" s="1" customFormat="1" x14ac:dyDescent="0.3"/>
    <row r="253" s="1" customFormat="1" x14ac:dyDescent="0.3"/>
    <row r="254" s="1" customFormat="1" x14ac:dyDescent="0.3"/>
    <row r="255" s="1" customFormat="1" x14ac:dyDescent="0.3"/>
    <row r="256" s="1" customFormat="1" x14ac:dyDescent="0.3"/>
    <row r="257" s="1" customFormat="1" x14ac:dyDescent="0.3"/>
    <row r="258" s="1" customFormat="1" x14ac:dyDescent="0.3"/>
    <row r="259" s="1" customFormat="1" x14ac:dyDescent="0.3"/>
    <row r="260" s="1" customFormat="1" x14ac:dyDescent="0.3"/>
    <row r="261" s="1" customFormat="1" x14ac:dyDescent="0.3"/>
    <row r="262" s="1" customFormat="1" x14ac:dyDescent="0.3"/>
    <row r="263" s="1" customFormat="1" x14ac:dyDescent="0.3"/>
    <row r="264" s="1" customFormat="1" x14ac:dyDescent="0.3"/>
    <row r="265" s="1" customFormat="1" x14ac:dyDescent="0.3"/>
    <row r="266" s="1" customFormat="1" x14ac:dyDescent="0.3"/>
    <row r="267" s="1" customFormat="1" x14ac:dyDescent="0.3"/>
    <row r="268" s="1" customFormat="1" x14ac:dyDescent="0.3"/>
    <row r="269" s="1" customFormat="1" x14ac:dyDescent="0.3"/>
    <row r="270" s="1" customFormat="1" x14ac:dyDescent="0.3"/>
    <row r="271" s="1" customFormat="1" x14ac:dyDescent="0.3"/>
    <row r="272" s="1" customFormat="1" x14ac:dyDescent="0.3"/>
    <row r="273" s="1" customFormat="1" x14ac:dyDescent="0.3"/>
    <row r="274" s="1" customFormat="1" x14ac:dyDescent="0.3"/>
    <row r="275" s="1" customFormat="1" x14ac:dyDescent="0.3"/>
    <row r="276" s="1" customFormat="1" x14ac:dyDescent="0.3"/>
    <row r="277" s="1" customFormat="1" x14ac:dyDescent="0.3"/>
    <row r="278" s="1" customFormat="1" x14ac:dyDescent="0.3"/>
    <row r="279" s="1" customFormat="1" x14ac:dyDescent="0.3"/>
    <row r="280" s="1" customFormat="1" x14ac:dyDescent="0.3"/>
    <row r="281" s="1" customFormat="1" x14ac:dyDescent="0.3"/>
    <row r="282" s="1" customFormat="1" x14ac:dyDescent="0.3"/>
    <row r="283" s="1" customFormat="1" x14ac:dyDescent="0.3"/>
    <row r="284" s="1" customFormat="1" x14ac:dyDescent="0.3"/>
    <row r="285" s="1" customFormat="1" x14ac:dyDescent="0.3"/>
    <row r="286" s="1" customFormat="1" x14ac:dyDescent="0.3"/>
    <row r="287" s="1" customFormat="1" x14ac:dyDescent="0.3"/>
    <row r="288" s="1" customFormat="1" x14ac:dyDescent="0.3"/>
    <row r="289" s="1" customFormat="1" x14ac:dyDescent="0.3"/>
    <row r="290" s="1" customFormat="1" x14ac:dyDescent="0.3"/>
    <row r="291" s="1" customFormat="1" x14ac:dyDescent="0.3"/>
    <row r="292" s="1" customFormat="1" x14ac:dyDescent="0.3"/>
    <row r="293" s="1" customFormat="1" x14ac:dyDescent="0.3"/>
    <row r="294" s="1" customFormat="1" x14ac:dyDescent="0.3"/>
    <row r="295" s="1" customFormat="1" x14ac:dyDescent="0.3"/>
    <row r="296" s="1" customFormat="1" x14ac:dyDescent="0.3"/>
    <row r="297" s="1" customFormat="1" x14ac:dyDescent="0.3"/>
    <row r="298" s="1" customFormat="1" x14ac:dyDescent="0.3"/>
    <row r="299" s="1" customFormat="1" x14ac:dyDescent="0.3"/>
    <row r="300" s="1" customFormat="1" x14ac:dyDescent="0.3"/>
    <row r="301" s="1" customFormat="1" x14ac:dyDescent="0.3"/>
    <row r="302" s="1" customFormat="1" x14ac:dyDescent="0.3"/>
    <row r="303" s="1" customFormat="1" x14ac:dyDescent="0.3"/>
    <row r="304" s="1" customFormat="1" x14ac:dyDescent="0.3"/>
    <row r="305" s="1" customFormat="1" x14ac:dyDescent="0.3"/>
    <row r="306" s="1" customFormat="1" x14ac:dyDescent="0.3"/>
    <row r="307" s="1" customFormat="1" x14ac:dyDescent="0.3"/>
    <row r="308" s="1" customFormat="1" x14ac:dyDescent="0.3"/>
    <row r="309" s="1" customFormat="1" x14ac:dyDescent="0.3"/>
    <row r="310" s="1" customFormat="1" x14ac:dyDescent="0.3"/>
    <row r="311" s="1" customFormat="1" x14ac:dyDescent="0.3"/>
    <row r="312" s="1" customFormat="1" x14ac:dyDescent="0.3"/>
    <row r="313" s="1" customFormat="1" x14ac:dyDescent="0.3"/>
    <row r="314" s="1" customFormat="1" x14ac:dyDescent="0.3"/>
    <row r="315" s="1" customFormat="1" x14ac:dyDescent="0.3"/>
    <row r="316" s="1" customFormat="1" x14ac:dyDescent="0.3"/>
    <row r="317" s="1" customFormat="1" x14ac:dyDescent="0.3"/>
    <row r="318" s="1" customFormat="1" x14ac:dyDescent="0.3"/>
    <row r="319" s="1" customFormat="1" x14ac:dyDescent="0.3"/>
    <row r="320" s="1" customFormat="1" x14ac:dyDescent="0.3"/>
    <row r="321" s="1" customFormat="1" x14ac:dyDescent="0.3"/>
    <row r="322" s="1" customFormat="1" x14ac:dyDescent="0.3"/>
    <row r="323" s="1" customFormat="1" x14ac:dyDescent="0.3"/>
    <row r="324" s="1" customFormat="1" x14ac:dyDescent="0.3"/>
    <row r="325" s="1" customFormat="1" x14ac:dyDescent="0.3"/>
    <row r="326" s="1" customFormat="1" x14ac:dyDescent="0.3"/>
    <row r="327" s="1" customFormat="1" x14ac:dyDescent="0.3"/>
    <row r="328" s="1" customFormat="1" x14ac:dyDescent="0.3"/>
    <row r="329" s="1" customFormat="1" x14ac:dyDescent="0.3"/>
    <row r="330" s="1" customFormat="1" x14ac:dyDescent="0.3"/>
    <row r="331" s="1" customFormat="1" x14ac:dyDescent="0.3"/>
    <row r="332" s="1" customFormat="1" x14ac:dyDescent="0.3"/>
    <row r="333" s="1" customFormat="1" x14ac:dyDescent="0.3"/>
    <row r="334" s="1" customFormat="1" x14ac:dyDescent="0.3"/>
    <row r="335" s="1" customFormat="1" x14ac:dyDescent="0.3"/>
    <row r="336" s="1" customFormat="1" x14ac:dyDescent="0.3"/>
    <row r="337" s="1" customFormat="1" x14ac:dyDescent="0.3"/>
    <row r="338" s="1" customFormat="1" x14ac:dyDescent="0.3"/>
    <row r="339" s="1" customFormat="1" x14ac:dyDescent="0.3"/>
  </sheetData>
  <mergeCells count="5">
    <mergeCell ref="C1:E1"/>
    <mergeCell ref="G3:L3"/>
    <mergeCell ref="H4:L4"/>
    <mergeCell ref="H5:L5"/>
    <mergeCell ref="H6:L6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B25FB-C93D-4683-816F-0AEAD66FEA3E}">
  <sheetPr codeName="Sheet6"/>
  <dimension ref="A1:BE339"/>
  <sheetViews>
    <sheetView workbookViewId="0">
      <selection activeCell="A2" sqref="A2:B170"/>
    </sheetView>
  </sheetViews>
  <sheetFormatPr defaultColWidth="11.5546875" defaultRowHeight="14.4" x14ac:dyDescent="0.3"/>
  <cols>
    <col min="6" max="13" width="11.5546875" style="1"/>
    <col min="15" max="20" width="11.5546875" style="1"/>
    <col min="21" max="21" width="16.6640625" style="1" bestFit="1" customWidth="1"/>
    <col min="22" max="57" width="11.5546875" style="1"/>
  </cols>
  <sheetData>
    <row r="1" spans="1:21" ht="31.2" x14ac:dyDescent="0.3">
      <c r="A1" s="30" t="s">
        <v>265</v>
      </c>
      <c r="B1" s="30"/>
      <c r="C1" s="144" t="s">
        <v>40</v>
      </c>
      <c r="D1" s="145" t="s">
        <v>40</v>
      </c>
      <c r="E1" s="146" t="s">
        <v>40</v>
      </c>
      <c r="N1" s="1"/>
      <c r="Q1" s="136" t="s">
        <v>344</v>
      </c>
      <c r="T1" s="60">
        <f>MIN(T3:T170)</f>
        <v>0.36893355581241749</v>
      </c>
    </row>
    <row r="2" spans="1:21" ht="15" thickBot="1" x14ac:dyDescent="0.35">
      <c r="A2" s="29" t="s">
        <v>39</v>
      </c>
      <c r="B2" s="29" t="s">
        <v>41</v>
      </c>
      <c r="C2" s="25" t="s">
        <v>41</v>
      </c>
      <c r="D2" s="26" t="s">
        <v>42</v>
      </c>
      <c r="E2" s="27" t="s">
        <v>43</v>
      </c>
      <c r="I2" s="153"/>
      <c r="J2" s="153"/>
      <c r="K2" s="153"/>
      <c r="M2" s="68" t="s">
        <v>267</v>
      </c>
      <c r="N2" s="25" t="s">
        <v>41</v>
      </c>
      <c r="Q2" s="25" t="s">
        <v>345</v>
      </c>
      <c r="T2" s="1" t="s">
        <v>343</v>
      </c>
      <c r="U2" s="1" t="s">
        <v>344</v>
      </c>
    </row>
    <row r="3" spans="1:21" x14ac:dyDescent="0.3">
      <c r="A3" s="15" t="s">
        <v>44</v>
      </c>
      <c r="B3" s="67">
        <v>1.313962183884934</v>
      </c>
      <c r="C3" s="33">
        <v>0.52558487355397365</v>
      </c>
      <c r="D3" s="34">
        <v>0.58950000000000014</v>
      </c>
      <c r="E3" s="35">
        <v>0.66000000000000014</v>
      </c>
      <c r="F3" s="1">
        <f>C3*2.5</f>
        <v>1.313962183884934</v>
      </c>
      <c r="G3" s="147" t="s">
        <v>222</v>
      </c>
      <c r="H3" s="148"/>
      <c r="I3" s="148"/>
      <c r="J3" s="148"/>
      <c r="K3" s="148"/>
      <c r="L3" s="149"/>
      <c r="M3" s="67">
        <v>0.52558487355397365</v>
      </c>
      <c r="N3" s="33">
        <v>0.6030000000000002</v>
      </c>
      <c r="O3" s="60"/>
      <c r="Q3" s="33">
        <v>1.313962183884934</v>
      </c>
      <c r="S3" s="137">
        <f>IF(F3&gt;0,F3-C3,0)</f>
        <v>0.78837731033096037</v>
      </c>
      <c r="T3" s="60">
        <f>loadA!C3-loadB!S3</f>
        <v>1.614392816115066</v>
      </c>
      <c r="U3" s="138">
        <f>C3+S3</f>
        <v>1.313962183884934</v>
      </c>
    </row>
    <row r="4" spans="1:21" x14ac:dyDescent="0.3">
      <c r="A4" s="15" t="s">
        <v>48</v>
      </c>
      <c r="B4" s="67">
        <v>1.2694029491413472</v>
      </c>
      <c r="C4" s="33">
        <v>0.50776117965653889</v>
      </c>
      <c r="D4" s="34">
        <v>0.61650000000000027</v>
      </c>
      <c r="E4" s="35">
        <v>0.65700000000000003</v>
      </c>
      <c r="F4" s="1">
        <f t="shared" ref="F4:F11" si="0">C4*2.5</f>
        <v>1.2694029491413472</v>
      </c>
      <c r="G4" s="25" t="s">
        <v>41</v>
      </c>
      <c r="H4" s="152" t="s">
        <v>224</v>
      </c>
      <c r="I4" s="152"/>
      <c r="J4" s="152"/>
      <c r="K4" s="152"/>
      <c r="L4" s="151"/>
      <c r="M4" s="67">
        <v>0.50776117965653889</v>
      </c>
      <c r="N4" s="33">
        <v>0.59549999999999992</v>
      </c>
      <c r="O4" s="60"/>
      <c r="Q4" s="33">
        <v>1.2694029491413472</v>
      </c>
      <c r="S4" s="137">
        <f t="shared" ref="S4:S67" si="1">IF(F4&gt;0,F4-C4,0)</f>
        <v>0.76164176948480833</v>
      </c>
      <c r="T4" s="60">
        <f>loadA!C4-loadB!S4</f>
        <v>0.83100805085865259</v>
      </c>
      <c r="U4" s="138">
        <f t="shared" ref="U4:U67" si="2">C4+S4</f>
        <v>1.2694029491413472</v>
      </c>
    </row>
    <row r="5" spans="1:21" x14ac:dyDescent="0.3">
      <c r="A5" s="15" t="s">
        <v>49</v>
      </c>
      <c r="B5" s="67">
        <v>1.8690524900924699</v>
      </c>
      <c r="C5" s="33">
        <v>0.74762099603698795</v>
      </c>
      <c r="D5" s="34">
        <v>0.59549999999999992</v>
      </c>
      <c r="E5" s="35">
        <v>0.66749999999999998</v>
      </c>
      <c r="F5" s="1">
        <f t="shared" si="0"/>
        <v>1.8690524900924699</v>
      </c>
      <c r="G5" s="25" t="s">
        <v>42</v>
      </c>
      <c r="H5" s="152" t="s">
        <v>224</v>
      </c>
      <c r="I5" s="152"/>
      <c r="J5" s="152"/>
      <c r="K5" s="152"/>
      <c r="L5" s="151"/>
      <c r="M5" s="67">
        <v>0.74762099603698795</v>
      </c>
      <c r="N5" s="33">
        <v>0.57450000000000001</v>
      </c>
      <c r="O5" s="60"/>
      <c r="Q5" s="33">
        <v>1.8690524900924699</v>
      </c>
      <c r="S5" s="137">
        <f t="shared" si="1"/>
        <v>1.1214314940554819</v>
      </c>
      <c r="T5" s="60">
        <f>loadA!C5-loadB!S5</f>
        <v>1.22356550990753</v>
      </c>
      <c r="U5" s="138">
        <f t="shared" si="2"/>
        <v>1.8690524900924699</v>
      </c>
    </row>
    <row r="6" spans="1:21" ht="15" thickBot="1" x14ac:dyDescent="0.35">
      <c r="A6" s="15" t="s">
        <v>50</v>
      </c>
      <c r="B6" s="67">
        <v>2.3060406220478162</v>
      </c>
      <c r="C6" s="33">
        <v>0.92241624881912654</v>
      </c>
      <c r="D6" s="34">
        <v>0.59549999999999992</v>
      </c>
      <c r="E6" s="35">
        <v>0.60450000000000026</v>
      </c>
      <c r="F6" s="1">
        <f t="shared" si="0"/>
        <v>2.3060406220478162</v>
      </c>
      <c r="G6" s="32" t="s">
        <v>43</v>
      </c>
      <c r="H6" s="141" t="s">
        <v>224</v>
      </c>
      <c r="I6" s="141"/>
      <c r="J6" s="141"/>
      <c r="K6" s="141"/>
      <c r="L6" s="142"/>
      <c r="M6" s="67">
        <v>0.92241624881912654</v>
      </c>
      <c r="N6" s="33">
        <v>0.59850000000000003</v>
      </c>
      <c r="O6" s="60"/>
      <c r="Q6" s="33">
        <v>2.3060406220478162</v>
      </c>
      <c r="S6" s="137">
        <f t="shared" si="1"/>
        <v>1.3836243732286897</v>
      </c>
      <c r="T6" s="60">
        <f>loadA!C6-loadB!S6</f>
        <v>1.5019703779521836</v>
      </c>
      <c r="U6" s="138">
        <f t="shared" si="2"/>
        <v>2.3060406220478162</v>
      </c>
    </row>
    <row r="7" spans="1:21" x14ac:dyDescent="0.3">
      <c r="A7" s="15" t="s">
        <v>51</v>
      </c>
      <c r="B7" s="67">
        <v>2.3156311314584697</v>
      </c>
      <c r="C7" s="33">
        <v>0.92625245258338784</v>
      </c>
      <c r="D7" s="34">
        <v>0.62700000000000022</v>
      </c>
      <c r="E7" s="35">
        <v>0.7004999999999999</v>
      </c>
      <c r="F7" s="1">
        <f t="shared" si="0"/>
        <v>2.3156311314584697</v>
      </c>
      <c r="M7" s="67">
        <v>0.92625245258338784</v>
      </c>
      <c r="N7" s="33">
        <v>0.60000000000000009</v>
      </c>
      <c r="O7" s="60"/>
      <c r="Q7" s="33">
        <v>2.3156311314584697</v>
      </c>
      <c r="S7" s="137">
        <f t="shared" si="1"/>
        <v>1.3893786788750817</v>
      </c>
      <c r="T7" s="60">
        <f>loadA!C7-loadB!S7</f>
        <v>1.5082168685415303</v>
      </c>
      <c r="U7" s="138">
        <f t="shared" si="2"/>
        <v>2.3156311314584697</v>
      </c>
    </row>
    <row r="8" spans="1:21" x14ac:dyDescent="0.3">
      <c r="A8" s="15" t="s">
        <v>52</v>
      </c>
      <c r="B8" s="67">
        <v>2.2282570739762217</v>
      </c>
      <c r="C8" s="33">
        <v>0.89130282959048868</v>
      </c>
      <c r="D8" s="34">
        <v>0.7605000000000004</v>
      </c>
      <c r="E8" s="35">
        <v>0.95849999999999991</v>
      </c>
      <c r="F8" s="1">
        <f t="shared" si="0"/>
        <v>2.2282570739762217</v>
      </c>
      <c r="M8" s="67">
        <v>0.89130282959048868</v>
      </c>
      <c r="N8" s="33">
        <v>0.74100000000000055</v>
      </c>
      <c r="O8" s="60"/>
      <c r="Q8" s="33">
        <v>2.2282570739762217</v>
      </c>
      <c r="S8" s="137">
        <f t="shared" si="1"/>
        <v>1.336954244385733</v>
      </c>
      <c r="T8" s="60">
        <f>loadA!C8-loadB!S8</f>
        <v>1.4587169260237784</v>
      </c>
      <c r="U8" s="138">
        <f t="shared" si="2"/>
        <v>2.2282570739762217</v>
      </c>
    </row>
    <row r="9" spans="1:21" x14ac:dyDescent="0.3">
      <c r="A9" s="15" t="s">
        <v>53</v>
      </c>
      <c r="B9" s="67">
        <v>1.64864748348745</v>
      </c>
      <c r="C9" s="33">
        <v>0.65945899339498004</v>
      </c>
      <c r="D9" s="34">
        <v>0.97799999999999976</v>
      </c>
      <c r="E9" s="35">
        <v>1.0335000000000001</v>
      </c>
      <c r="F9" s="1">
        <f t="shared" si="0"/>
        <v>1.64864748348745</v>
      </c>
      <c r="M9" s="67">
        <v>0.65945899339498004</v>
      </c>
      <c r="N9" s="33">
        <v>0.86850000000000005</v>
      </c>
      <c r="O9" s="60"/>
      <c r="Q9" s="33">
        <v>1.64864748348745</v>
      </c>
      <c r="S9" s="137">
        <f t="shared" si="1"/>
        <v>0.98918849009247001</v>
      </c>
      <c r="T9" s="60">
        <f>loadA!C9-loadB!S9</f>
        <v>1.07927851651255</v>
      </c>
      <c r="U9" s="138">
        <f t="shared" si="2"/>
        <v>1.64864748348745</v>
      </c>
    </row>
    <row r="10" spans="1:21" x14ac:dyDescent="0.3">
      <c r="A10" s="15" t="s">
        <v>54</v>
      </c>
      <c r="B10" s="67">
        <v>1.5862404673048838</v>
      </c>
      <c r="C10" s="33">
        <v>0.63449618692195353</v>
      </c>
      <c r="D10" s="34">
        <v>1.1619999999999999</v>
      </c>
      <c r="E10" s="35">
        <v>1.258</v>
      </c>
      <c r="F10" s="1">
        <f t="shared" si="0"/>
        <v>1.5862404673048838</v>
      </c>
      <c r="H10" s="1" t="s">
        <v>268</v>
      </c>
      <c r="M10" s="67">
        <v>0.63449618692195353</v>
      </c>
      <c r="N10" s="33">
        <v>1.1079999999999997</v>
      </c>
      <c r="O10" s="60"/>
      <c r="Q10" s="33">
        <v>1.5862404673048838</v>
      </c>
      <c r="S10" s="137">
        <f t="shared" si="1"/>
        <v>0.95174428038293024</v>
      </c>
      <c r="T10" s="60">
        <f>loadA!C10-loadB!S10</f>
        <v>0.75999953269511622</v>
      </c>
      <c r="U10" s="138">
        <f t="shared" si="2"/>
        <v>1.5862404673048838</v>
      </c>
    </row>
    <row r="11" spans="1:21" x14ac:dyDescent="0.3">
      <c r="A11" s="15" t="s">
        <v>55</v>
      </c>
      <c r="B11" s="67">
        <v>1.5909446307130546</v>
      </c>
      <c r="C11" s="33">
        <v>0.63637785228522181</v>
      </c>
      <c r="D11" s="34">
        <v>1.2639999999999993</v>
      </c>
      <c r="E11" s="35">
        <v>1.3579999999999997</v>
      </c>
      <c r="F11" s="1">
        <f t="shared" si="0"/>
        <v>1.5909446307130546</v>
      </c>
      <c r="M11" s="67">
        <v>0.63637785228522181</v>
      </c>
      <c r="N11" s="33">
        <v>1.2239999999999993</v>
      </c>
      <c r="O11" s="60"/>
      <c r="Q11" s="33">
        <v>1.5909446307130546</v>
      </c>
      <c r="S11" s="137">
        <f t="shared" si="1"/>
        <v>0.95456677842783277</v>
      </c>
      <c r="T11" s="60">
        <f>loadA!C11-loadB!S11</f>
        <v>0.75312136928694551</v>
      </c>
      <c r="U11" s="138">
        <f t="shared" si="2"/>
        <v>1.5909446307130546</v>
      </c>
    </row>
    <row r="12" spans="1:21" x14ac:dyDescent="0.3">
      <c r="A12" s="15" t="s">
        <v>56</v>
      </c>
      <c r="B12" s="67">
        <v>8.3234937141948464</v>
      </c>
      <c r="C12" s="33">
        <v>8.3234937141948464</v>
      </c>
      <c r="D12" s="34">
        <v>1.8480000000000008</v>
      </c>
      <c r="E12" s="35">
        <v>1.9830000000000005</v>
      </c>
      <c r="M12" s="67">
        <v>8.3234937141948464</v>
      </c>
      <c r="N12" s="33">
        <v>1.9710000000000001</v>
      </c>
      <c r="O12" s="60"/>
      <c r="Q12" s="33">
        <v>8.3234937141948464</v>
      </c>
      <c r="S12" s="137">
        <f t="shared" si="1"/>
        <v>0</v>
      </c>
      <c r="T12" s="60">
        <f>loadA!C12-loadB!S12</f>
        <v>1.9952462858051536</v>
      </c>
      <c r="U12" s="138">
        <f t="shared" si="2"/>
        <v>8.3234937141948464</v>
      </c>
    </row>
    <row r="13" spans="1:21" x14ac:dyDescent="0.3">
      <c r="A13" s="15" t="s">
        <v>57</v>
      </c>
      <c r="B13" s="67">
        <v>6.7840640591701993</v>
      </c>
      <c r="C13" s="33">
        <v>6.7840640591701993</v>
      </c>
      <c r="D13" s="34">
        <v>2.875</v>
      </c>
      <c r="E13" s="35">
        <v>2.9849999999999999</v>
      </c>
      <c r="M13" s="67">
        <v>6.7840640591701993</v>
      </c>
      <c r="N13" s="33">
        <v>2.9550000000000001</v>
      </c>
      <c r="O13" s="60"/>
      <c r="Q13" s="33">
        <v>6.7840640591701993</v>
      </c>
      <c r="S13" s="137">
        <f t="shared" si="1"/>
        <v>0</v>
      </c>
      <c r="T13" s="60">
        <f>loadA!C13-loadB!S13</f>
        <v>3.1424649408298011</v>
      </c>
      <c r="U13" s="138">
        <f t="shared" si="2"/>
        <v>6.7840640591701993</v>
      </c>
    </row>
    <row r="14" spans="1:21" x14ac:dyDescent="0.3">
      <c r="A14" s="15" t="s">
        <v>58</v>
      </c>
      <c r="B14" s="67">
        <v>8.797005108491831</v>
      </c>
      <c r="C14" s="33">
        <v>8.797005108491831</v>
      </c>
      <c r="D14" s="34">
        <v>2.855</v>
      </c>
      <c r="E14" s="35">
        <v>3.2250000000000001</v>
      </c>
      <c r="M14" s="67">
        <v>8.797005108491831</v>
      </c>
      <c r="N14" s="33">
        <v>2.74</v>
      </c>
      <c r="O14" s="60"/>
      <c r="Q14" s="33">
        <v>8.797005108491831</v>
      </c>
      <c r="S14" s="137">
        <f t="shared" si="1"/>
        <v>0</v>
      </c>
      <c r="T14" s="60">
        <f>loadA!C14-loadB!S14</f>
        <v>4.0748848915081695</v>
      </c>
      <c r="U14" s="138">
        <f t="shared" si="2"/>
        <v>8.797005108491831</v>
      </c>
    </row>
    <row r="15" spans="1:21" x14ac:dyDescent="0.3">
      <c r="A15" s="15" t="s">
        <v>59</v>
      </c>
      <c r="B15" s="67">
        <v>1.4969744047379032</v>
      </c>
      <c r="C15" s="33">
        <v>1.4969744047379032</v>
      </c>
      <c r="D15" s="34">
        <v>4.0884999999999998</v>
      </c>
      <c r="E15" s="35">
        <v>4.2835000000000001</v>
      </c>
      <c r="M15" s="67">
        <v>1.4969744047379032</v>
      </c>
      <c r="N15" s="33">
        <v>4.173</v>
      </c>
      <c r="O15" s="60"/>
      <c r="Q15" s="33">
        <v>1.4969744047379032</v>
      </c>
      <c r="S15" s="137">
        <f t="shared" si="1"/>
        <v>0</v>
      </c>
      <c r="T15" s="60">
        <f>loadA!C15-loadB!S15</f>
        <v>3.9128565952620962</v>
      </c>
      <c r="U15" s="138">
        <f t="shared" si="2"/>
        <v>1.4969744047379032</v>
      </c>
    </row>
    <row r="16" spans="1:21" x14ac:dyDescent="0.3">
      <c r="A16" s="15" t="s">
        <v>60</v>
      </c>
      <c r="B16" s="67">
        <v>1.3975475966069746</v>
      </c>
      <c r="C16" s="33">
        <v>1.3975475966069746</v>
      </c>
      <c r="D16" s="34">
        <v>4.7320000000000002</v>
      </c>
      <c r="E16" s="35">
        <v>5.4145000000000003</v>
      </c>
      <c r="M16" s="67">
        <v>1.3975475966069746</v>
      </c>
      <c r="N16" s="33">
        <v>5.0895000000000001</v>
      </c>
      <c r="O16" s="60"/>
      <c r="Q16" s="33">
        <v>1.3975475966069746</v>
      </c>
      <c r="S16" s="137">
        <f t="shared" si="1"/>
        <v>0</v>
      </c>
      <c r="T16" s="60">
        <f>loadA!C16-loadB!S16</f>
        <v>6.0164424033930253</v>
      </c>
      <c r="U16" s="138">
        <f t="shared" si="2"/>
        <v>1.3975475966069746</v>
      </c>
    </row>
    <row r="17" spans="1:21" x14ac:dyDescent="0.3">
      <c r="A17" s="15" t="s">
        <v>61</v>
      </c>
      <c r="B17" s="67">
        <v>7.1909409418960086</v>
      </c>
      <c r="C17" s="33">
        <v>7.1909409418960086</v>
      </c>
      <c r="D17" s="34">
        <v>3.9129999999999998</v>
      </c>
      <c r="E17" s="35">
        <v>4.8360000000000003</v>
      </c>
      <c r="M17" s="67">
        <v>7.1909409418960086</v>
      </c>
      <c r="N17" s="33">
        <v>4.5045000000000002</v>
      </c>
      <c r="O17" s="60"/>
      <c r="Q17" s="33">
        <v>7.1909409418960086</v>
      </c>
      <c r="S17" s="137">
        <f t="shared" si="1"/>
        <v>0</v>
      </c>
      <c r="T17" s="60">
        <f>loadA!C17-loadB!S17</f>
        <v>5.7292090581039909</v>
      </c>
      <c r="U17" s="138">
        <f t="shared" si="2"/>
        <v>7.1909409418960086</v>
      </c>
    </row>
    <row r="18" spans="1:21" x14ac:dyDescent="0.3">
      <c r="A18" s="15" t="s">
        <v>62</v>
      </c>
      <c r="B18" s="67">
        <v>4.4057626058208976</v>
      </c>
      <c r="C18" s="33">
        <v>4.4057626058208976</v>
      </c>
      <c r="D18" s="34">
        <v>3.2149999999999999</v>
      </c>
      <c r="E18" s="35">
        <v>3.5649999999999999</v>
      </c>
      <c r="M18" s="67">
        <v>4.4057626058208976</v>
      </c>
      <c r="N18" s="33">
        <v>3.2149999999999999</v>
      </c>
      <c r="O18" s="60"/>
      <c r="Q18" s="33">
        <v>4.4057626058208976</v>
      </c>
      <c r="S18" s="137">
        <f t="shared" si="1"/>
        <v>0</v>
      </c>
      <c r="T18" s="60">
        <f>loadA!C18-loadB!S18</f>
        <v>2.0408053941791024</v>
      </c>
      <c r="U18" s="138">
        <f t="shared" si="2"/>
        <v>4.4057626058208976</v>
      </c>
    </row>
    <row r="19" spans="1:21" x14ac:dyDescent="0.3">
      <c r="A19" s="15" t="s">
        <v>63</v>
      </c>
      <c r="B19" s="67">
        <v>7.5514172709222986</v>
      </c>
      <c r="C19" s="33">
        <v>7.5514172709222986</v>
      </c>
      <c r="D19" s="34">
        <v>2.6549999999999998</v>
      </c>
      <c r="E19" s="35">
        <v>3.1349999999999998</v>
      </c>
      <c r="M19" s="67">
        <v>7.5514172709222986</v>
      </c>
      <c r="N19" s="33">
        <v>2.67</v>
      </c>
      <c r="O19" s="60"/>
      <c r="Q19" s="33">
        <v>7.5514172709222986</v>
      </c>
      <c r="S19" s="137">
        <f t="shared" si="1"/>
        <v>0</v>
      </c>
      <c r="T19" s="60">
        <f>loadA!C19-loadB!S19</f>
        <v>3.4979127290777008</v>
      </c>
      <c r="U19" s="138">
        <f t="shared" si="2"/>
        <v>7.5514172709222986</v>
      </c>
    </row>
    <row r="20" spans="1:21" x14ac:dyDescent="0.3">
      <c r="A20" s="15" t="s">
        <v>64</v>
      </c>
      <c r="B20" s="67">
        <v>5.945439849069432</v>
      </c>
      <c r="C20" s="33">
        <v>5.945439849069432</v>
      </c>
      <c r="D20" s="34">
        <v>3.4400000000000004</v>
      </c>
      <c r="E20" s="35">
        <v>3.54</v>
      </c>
      <c r="M20" s="67">
        <v>5.945439849069432</v>
      </c>
      <c r="N20" s="33">
        <v>3.7200000000000006</v>
      </c>
      <c r="O20" s="60"/>
      <c r="Q20" s="33">
        <v>5.945439849069432</v>
      </c>
      <c r="S20" s="137">
        <f t="shared" si="1"/>
        <v>0</v>
      </c>
      <c r="T20" s="60">
        <f>loadA!C20-loadB!S20</f>
        <v>3.2497241509305681</v>
      </c>
      <c r="U20" s="138">
        <f t="shared" si="2"/>
        <v>5.945439849069432</v>
      </c>
    </row>
    <row r="21" spans="1:21" x14ac:dyDescent="0.3">
      <c r="A21" s="15" t="s">
        <v>65</v>
      </c>
      <c r="B21" s="67">
        <v>3.2149174039838471</v>
      </c>
      <c r="C21" s="33">
        <v>1.2859669615935387</v>
      </c>
      <c r="D21" s="34">
        <v>1.548</v>
      </c>
      <c r="E21" s="35">
        <v>1.8839999999999995</v>
      </c>
      <c r="F21" s="1">
        <f t="shared" ref="F21:F34" si="3">C21*2.5</f>
        <v>3.2149174039838471</v>
      </c>
      <c r="M21" s="67">
        <v>1.2859669615935387</v>
      </c>
      <c r="N21" s="33">
        <v>1.6999999999999993</v>
      </c>
      <c r="O21" s="60"/>
      <c r="Q21" s="33">
        <v>3.2149174039838471</v>
      </c>
      <c r="S21" s="137">
        <f t="shared" si="1"/>
        <v>1.9289504423903083</v>
      </c>
      <c r="T21" s="60">
        <f>loadA!C21-loadB!S21</f>
        <v>5.1886365960161527</v>
      </c>
      <c r="U21" s="138">
        <f t="shared" si="2"/>
        <v>3.2149174039838471</v>
      </c>
    </row>
    <row r="22" spans="1:21" x14ac:dyDescent="0.3">
      <c r="A22" s="15" t="s">
        <v>66</v>
      </c>
      <c r="B22" s="67">
        <v>2.5597218214465141</v>
      </c>
      <c r="C22" s="33">
        <v>1.0238887285786056</v>
      </c>
      <c r="D22" s="34">
        <v>1.5819999999999999</v>
      </c>
      <c r="E22" s="35">
        <v>1.766</v>
      </c>
      <c r="F22" s="1">
        <f t="shared" si="3"/>
        <v>2.5597218214465141</v>
      </c>
      <c r="M22" s="67">
        <v>1.0238887285786056</v>
      </c>
      <c r="N22" s="33">
        <v>1.742</v>
      </c>
      <c r="O22" s="60"/>
      <c r="Q22" s="33">
        <v>2.5597218214465141</v>
      </c>
      <c r="S22" s="137">
        <f t="shared" si="1"/>
        <v>1.5358330928679085</v>
      </c>
      <c r="T22" s="60">
        <f>loadA!C22-loadB!S22</f>
        <v>2.4518311785534861</v>
      </c>
      <c r="U22" s="138">
        <f t="shared" si="2"/>
        <v>2.5597218214465141</v>
      </c>
    </row>
    <row r="23" spans="1:21" x14ac:dyDescent="0.3">
      <c r="A23" s="15" t="s">
        <v>67</v>
      </c>
      <c r="B23" s="67">
        <v>2.7649392124075711</v>
      </c>
      <c r="C23" s="33">
        <v>1.1059756849630284</v>
      </c>
      <c r="D23" s="34">
        <v>0.84299999999999997</v>
      </c>
      <c r="E23" s="35">
        <v>0.88349999999999973</v>
      </c>
      <c r="F23" s="1">
        <f t="shared" si="3"/>
        <v>2.7649392124075711</v>
      </c>
      <c r="M23" s="67">
        <v>1.1059756849630284</v>
      </c>
      <c r="N23" s="33">
        <v>0.8100000000000005</v>
      </c>
      <c r="O23" s="60"/>
      <c r="Q23" s="33">
        <v>2.7649392124075711</v>
      </c>
      <c r="S23" s="137">
        <f t="shared" si="1"/>
        <v>1.6589635274445427</v>
      </c>
      <c r="T23" s="60">
        <f>loadA!C23-loadB!S23</f>
        <v>10.366960787592427</v>
      </c>
      <c r="U23" s="138">
        <f t="shared" si="2"/>
        <v>2.7649392124075711</v>
      </c>
    </row>
    <row r="24" spans="1:21" x14ac:dyDescent="0.3">
      <c r="A24" s="15" t="s">
        <v>68</v>
      </c>
      <c r="B24" s="67">
        <v>1.932051471052465</v>
      </c>
      <c r="C24" s="33">
        <v>0.77282058842098611</v>
      </c>
      <c r="D24" s="34">
        <v>0.7889999999999997</v>
      </c>
      <c r="E24" s="35">
        <v>0.8805000000000005</v>
      </c>
      <c r="F24" s="1">
        <f t="shared" si="3"/>
        <v>1.9320514710524652</v>
      </c>
      <c r="M24" s="67">
        <v>0.77282058842098611</v>
      </c>
      <c r="N24" s="33">
        <v>0.8384999999999998</v>
      </c>
      <c r="O24" s="60"/>
      <c r="Q24" s="33">
        <v>1.932051471052465</v>
      </c>
      <c r="S24" s="137">
        <f t="shared" si="1"/>
        <v>1.159230882631479</v>
      </c>
      <c r="T24" s="60">
        <f>loadA!C24-loadB!S24</f>
        <v>11.445768528947536</v>
      </c>
      <c r="U24" s="138">
        <f t="shared" si="2"/>
        <v>1.932051471052465</v>
      </c>
    </row>
    <row r="25" spans="1:21" x14ac:dyDescent="0.3">
      <c r="A25" s="15" t="s">
        <v>69</v>
      </c>
      <c r="B25" s="67">
        <v>1.396806862982432</v>
      </c>
      <c r="C25" s="33">
        <v>0.55872274519297283</v>
      </c>
      <c r="D25" s="34">
        <v>0.81599999999999984</v>
      </c>
      <c r="E25" s="35">
        <v>0.86699999999999999</v>
      </c>
      <c r="F25" s="1">
        <f t="shared" si="3"/>
        <v>1.396806862982432</v>
      </c>
      <c r="M25" s="67">
        <v>0.55872274519297283</v>
      </c>
      <c r="N25" s="33">
        <v>0.89100000000000001</v>
      </c>
      <c r="O25" s="60"/>
      <c r="Q25" s="33">
        <v>1.396806862982432</v>
      </c>
      <c r="S25" s="137">
        <f t="shared" si="1"/>
        <v>0.83808411778945913</v>
      </c>
      <c r="T25" s="60">
        <f>loadA!C25-loadB!S25</f>
        <v>3.0174081370175685</v>
      </c>
      <c r="U25" s="138">
        <f t="shared" si="2"/>
        <v>1.396806862982432</v>
      </c>
    </row>
    <row r="26" spans="1:21" x14ac:dyDescent="0.3">
      <c r="A26" s="15" t="s">
        <v>70</v>
      </c>
      <c r="B26" s="67">
        <v>1.5297587650678706</v>
      </c>
      <c r="C26" s="33">
        <v>0.61190350602714827</v>
      </c>
      <c r="D26" s="34">
        <v>0.8985000000000003</v>
      </c>
      <c r="E26" s="35">
        <v>0.89700000000000024</v>
      </c>
      <c r="F26" s="1">
        <f t="shared" si="3"/>
        <v>1.5297587650678706</v>
      </c>
      <c r="M26" s="67">
        <v>0.61190350602714827</v>
      </c>
      <c r="N26" s="33">
        <v>0.79199999999999982</v>
      </c>
      <c r="O26" s="60"/>
      <c r="Q26" s="33">
        <v>1.5297587650678706</v>
      </c>
      <c r="S26" s="137">
        <f t="shared" si="1"/>
        <v>0.91785525904072229</v>
      </c>
      <c r="T26" s="60">
        <f>loadA!C26-loadB!S26</f>
        <v>2.5769092349321294</v>
      </c>
      <c r="U26" s="138">
        <f t="shared" si="2"/>
        <v>1.5297587650678706</v>
      </c>
    </row>
    <row r="27" spans="1:21" x14ac:dyDescent="0.3">
      <c r="A27" s="15" t="s">
        <v>71</v>
      </c>
      <c r="B27" s="67">
        <v>1.6473315916457825</v>
      </c>
      <c r="C27" s="33">
        <v>0.65893263665831303</v>
      </c>
      <c r="D27" s="34">
        <v>0.70350000000000001</v>
      </c>
      <c r="E27" s="35">
        <v>0.62850000000000028</v>
      </c>
      <c r="F27" s="1">
        <f t="shared" si="3"/>
        <v>1.6473315916457825</v>
      </c>
      <c r="M27" s="67">
        <v>0.65893263665831303</v>
      </c>
      <c r="N27" s="33">
        <v>0.7605000000000004</v>
      </c>
      <c r="O27" s="60"/>
      <c r="Q27" s="33">
        <v>1.6473315916457825</v>
      </c>
      <c r="S27" s="137">
        <f t="shared" si="1"/>
        <v>0.98839895498746944</v>
      </c>
      <c r="T27" s="60">
        <f>loadA!C27-loadB!S27</f>
        <v>2.0239854083542177</v>
      </c>
      <c r="U27" s="138">
        <f t="shared" si="2"/>
        <v>1.6473315916457825</v>
      </c>
    </row>
    <row r="28" spans="1:21" x14ac:dyDescent="0.3">
      <c r="A28" s="15" t="s">
        <v>72</v>
      </c>
      <c r="B28" s="67">
        <v>1.3359997192866577</v>
      </c>
      <c r="C28" s="33">
        <v>0.53439988771466307</v>
      </c>
      <c r="D28" s="34">
        <v>0.59699999999999998</v>
      </c>
      <c r="E28" s="35">
        <v>0.58499999999999996</v>
      </c>
      <c r="F28" s="1">
        <f t="shared" si="3"/>
        <v>1.3359997192866577</v>
      </c>
      <c r="M28" s="67">
        <v>0.53439988771466307</v>
      </c>
      <c r="N28" s="33">
        <v>0.67799999999999994</v>
      </c>
      <c r="O28" s="60"/>
      <c r="Q28" s="33">
        <v>1.3359997192866577</v>
      </c>
      <c r="S28" s="137">
        <f t="shared" si="1"/>
        <v>0.80159983157199466</v>
      </c>
      <c r="T28" s="60">
        <f>loadA!C28-loadB!S28</f>
        <v>0.87460528071334231</v>
      </c>
      <c r="U28" s="138">
        <f t="shared" si="2"/>
        <v>1.3359997192866577</v>
      </c>
    </row>
    <row r="29" spans="1:21" x14ac:dyDescent="0.3">
      <c r="A29" s="15" t="s">
        <v>73</v>
      </c>
      <c r="B29" s="67">
        <v>0.56356294418758246</v>
      </c>
      <c r="C29" s="33">
        <v>0.22542517767503298</v>
      </c>
      <c r="D29" s="34">
        <v>0.61800000000000033</v>
      </c>
      <c r="E29" s="35">
        <v>0.59850000000000003</v>
      </c>
      <c r="F29" s="1">
        <f t="shared" si="3"/>
        <v>0.56356294418758246</v>
      </c>
      <c r="M29" s="67">
        <v>0.22542517767503298</v>
      </c>
      <c r="N29" s="33">
        <v>0.7110000000000003</v>
      </c>
      <c r="O29" s="60"/>
      <c r="Q29" s="33">
        <v>0.56356294418758246</v>
      </c>
      <c r="S29" s="137">
        <f t="shared" si="1"/>
        <v>0.33813776651254945</v>
      </c>
      <c r="T29" s="60">
        <f>loadA!C29-loadB!S29</f>
        <v>0.36893355581241749</v>
      </c>
      <c r="U29" s="138">
        <f t="shared" si="2"/>
        <v>0.56356294418758246</v>
      </c>
    </row>
    <row r="30" spans="1:21" x14ac:dyDescent="0.3">
      <c r="A30" s="15" t="s">
        <v>74</v>
      </c>
      <c r="B30" s="67">
        <v>1.8918955744495314</v>
      </c>
      <c r="C30" s="33">
        <v>0.75675822977981244</v>
      </c>
      <c r="D30" s="34">
        <v>0.6120000000000001</v>
      </c>
      <c r="E30" s="35">
        <v>0.65700000000000003</v>
      </c>
      <c r="F30" s="1">
        <f t="shared" si="3"/>
        <v>1.8918955744495312</v>
      </c>
      <c r="M30" s="67">
        <v>0.75675822977981244</v>
      </c>
      <c r="N30" s="33">
        <v>0.75900000000000034</v>
      </c>
      <c r="O30" s="60"/>
      <c r="Q30" s="33">
        <v>1.8918955744495314</v>
      </c>
      <c r="S30" s="137">
        <f t="shared" si="1"/>
        <v>1.1351373446697188</v>
      </c>
      <c r="T30" s="60">
        <f>loadA!C30-loadB!S30</f>
        <v>1.2322294255504684</v>
      </c>
      <c r="U30" s="138">
        <f t="shared" si="2"/>
        <v>1.8918955744495314</v>
      </c>
    </row>
    <row r="31" spans="1:21" x14ac:dyDescent="0.3">
      <c r="A31" s="15" t="s">
        <v>75</v>
      </c>
      <c r="B31" s="67">
        <v>1.0841181600174408</v>
      </c>
      <c r="C31" s="33">
        <v>0.43364726400697629</v>
      </c>
      <c r="D31" s="34">
        <v>0.57299999999999995</v>
      </c>
      <c r="E31" s="35">
        <v>0.64650000000000007</v>
      </c>
      <c r="F31" s="1">
        <f t="shared" si="3"/>
        <v>1.0841181600174408</v>
      </c>
      <c r="M31" s="67">
        <v>0.43364726400697629</v>
      </c>
      <c r="N31" s="33">
        <v>0.75300000000000011</v>
      </c>
      <c r="O31" s="60"/>
      <c r="Q31" s="33">
        <v>1.0841181600174408</v>
      </c>
      <c r="S31" s="137">
        <f t="shared" si="1"/>
        <v>0.65047089601046448</v>
      </c>
      <c r="T31" s="60">
        <f>loadA!C31-loadB!S31</f>
        <v>0.70610783998255922</v>
      </c>
      <c r="U31" s="138">
        <f t="shared" si="2"/>
        <v>1.0841181600174408</v>
      </c>
    </row>
    <row r="32" spans="1:21" x14ac:dyDescent="0.3">
      <c r="A32" s="15" t="s">
        <v>76</v>
      </c>
      <c r="B32" s="67">
        <v>1.2428431704095111</v>
      </c>
      <c r="C32" s="33">
        <v>0.49713726816380444</v>
      </c>
      <c r="D32" s="34">
        <v>0.83699999999999974</v>
      </c>
      <c r="E32" s="35">
        <v>0.88349999999999973</v>
      </c>
      <c r="F32" s="1">
        <f t="shared" si="3"/>
        <v>1.2428431704095111</v>
      </c>
      <c r="M32" s="67">
        <v>0.49713726816380444</v>
      </c>
      <c r="N32" s="33">
        <v>0.90150000000000041</v>
      </c>
      <c r="O32" s="60"/>
      <c r="Q32" s="33">
        <v>1.2428431704095111</v>
      </c>
      <c r="S32" s="137">
        <f t="shared" si="1"/>
        <v>0.74570590224570665</v>
      </c>
      <c r="T32" s="60">
        <f>loadA!C32-loadB!S32</f>
        <v>0.81362082959048898</v>
      </c>
      <c r="U32" s="138">
        <f t="shared" si="2"/>
        <v>1.2428431704095111</v>
      </c>
    </row>
    <row r="33" spans="1:21" x14ac:dyDescent="0.3">
      <c r="A33" s="15" t="s">
        <v>77</v>
      </c>
      <c r="B33" s="67">
        <v>1.0422774669749009</v>
      </c>
      <c r="C33" s="33">
        <v>0.4169109867899603</v>
      </c>
      <c r="D33" s="34">
        <v>0.95699999999999985</v>
      </c>
      <c r="E33" s="35">
        <v>0.96300000000000008</v>
      </c>
      <c r="F33" s="1">
        <f t="shared" si="3"/>
        <v>1.0422774669749009</v>
      </c>
      <c r="M33" s="67">
        <v>0.4169109867899603</v>
      </c>
      <c r="N33" s="33">
        <v>1.0034999999999998</v>
      </c>
      <c r="O33" s="60"/>
      <c r="Q33" s="33">
        <v>1.0422774669749009</v>
      </c>
      <c r="S33" s="137">
        <f t="shared" si="1"/>
        <v>0.62536648018494057</v>
      </c>
      <c r="T33" s="60">
        <f>loadA!C33-loadB!S33</f>
        <v>0.68232153302509913</v>
      </c>
      <c r="U33" s="138">
        <f t="shared" si="2"/>
        <v>1.0422774669749009</v>
      </c>
    </row>
    <row r="34" spans="1:21" x14ac:dyDescent="0.3">
      <c r="A34" s="15" t="s">
        <v>78</v>
      </c>
      <c r="B34" s="67">
        <v>1.2695596030071934</v>
      </c>
      <c r="C34" s="33">
        <v>0.50782384120287738</v>
      </c>
      <c r="D34" s="34">
        <v>1.242</v>
      </c>
      <c r="E34" s="35">
        <v>1.274</v>
      </c>
      <c r="F34" s="1">
        <f t="shared" si="3"/>
        <v>1.2695596030071934</v>
      </c>
      <c r="M34" s="67">
        <v>0.50782384120287738</v>
      </c>
      <c r="N34" s="33">
        <v>1.3419999999999996</v>
      </c>
      <c r="O34" s="60"/>
      <c r="Q34" s="33">
        <v>1.2695596030071934</v>
      </c>
      <c r="S34" s="137">
        <f t="shared" si="1"/>
        <v>0.76173576180431601</v>
      </c>
      <c r="T34" s="60">
        <f>loadA!C34-loadB!S34</f>
        <v>0.60827139699280675</v>
      </c>
      <c r="U34" s="138">
        <f t="shared" si="2"/>
        <v>1.2695596030071934</v>
      </c>
    </row>
    <row r="35" spans="1:21" x14ac:dyDescent="0.3">
      <c r="A35" s="15" t="s">
        <v>79</v>
      </c>
      <c r="B35" s="67">
        <v>0.48716719379929146</v>
      </c>
      <c r="C35" s="33">
        <v>0.48716719379929146</v>
      </c>
      <c r="D35" s="34">
        <v>1.3759999999999994</v>
      </c>
      <c r="E35" s="35">
        <v>1.3239999999999998</v>
      </c>
      <c r="M35" s="67">
        <v>0.48716719379929146</v>
      </c>
      <c r="N35" s="33">
        <v>1.3099999999999996</v>
      </c>
      <c r="O35" s="60"/>
      <c r="Q35" s="33">
        <v>0.48716719379929146</v>
      </c>
      <c r="S35" s="137">
        <f t="shared" si="1"/>
        <v>0</v>
      </c>
      <c r="T35" s="60">
        <f>loadA!C35-loadB!S35</f>
        <v>1.3072888062007086</v>
      </c>
      <c r="U35" s="138">
        <f t="shared" si="2"/>
        <v>0.48716719379929146</v>
      </c>
    </row>
    <row r="36" spans="1:21" x14ac:dyDescent="0.3">
      <c r="A36" s="15" t="s">
        <v>80</v>
      </c>
      <c r="B36" s="67">
        <v>5.5756995794398385</v>
      </c>
      <c r="C36" s="33">
        <v>5.5756995794398385</v>
      </c>
      <c r="D36" s="34">
        <v>1.899</v>
      </c>
      <c r="E36" s="35">
        <v>1.9590000000000005</v>
      </c>
      <c r="M36" s="67">
        <v>5.5756995794398385</v>
      </c>
      <c r="N36" s="33">
        <v>2.0550000000000006</v>
      </c>
      <c r="O36" s="60"/>
      <c r="Q36" s="33">
        <v>5.5756995794398385</v>
      </c>
      <c r="S36" s="137">
        <f t="shared" si="1"/>
        <v>0</v>
      </c>
      <c r="T36" s="60">
        <f>loadA!C36-loadB!S36</f>
        <v>1.3365654205601611</v>
      </c>
      <c r="U36" s="138">
        <f t="shared" si="2"/>
        <v>5.5756995794398385</v>
      </c>
    </row>
    <row r="37" spans="1:21" x14ac:dyDescent="0.3">
      <c r="A37" s="15" t="s">
        <v>81</v>
      </c>
      <c r="B37" s="67">
        <v>4.372636185799152</v>
      </c>
      <c r="C37" s="33">
        <v>4.372636185799152</v>
      </c>
      <c r="D37" s="34">
        <v>2.75</v>
      </c>
      <c r="E37" s="35">
        <v>2.99</v>
      </c>
      <c r="M37" s="67">
        <v>4.372636185799152</v>
      </c>
      <c r="N37" s="33">
        <v>3.2749999999999999</v>
      </c>
      <c r="O37" s="60"/>
      <c r="Q37" s="33">
        <v>4.372636185799152</v>
      </c>
      <c r="S37" s="137">
        <f t="shared" si="1"/>
        <v>0</v>
      </c>
      <c r="T37" s="60">
        <f>loadA!C37-loadB!S37</f>
        <v>2.0254608142008479</v>
      </c>
      <c r="U37" s="138">
        <f t="shared" si="2"/>
        <v>4.372636185799152</v>
      </c>
    </row>
    <row r="38" spans="1:21" x14ac:dyDescent="0.3">
      <c r="A38" s="15" t="s">
        <v>82</v>
      </c>
      <c r="B38" s="67">
        <v>5.0378559241896603</v>
      </c>
      <c r="C38" s="33">
        <v>5.0378559241896603</v>
      </c>
      <c r="D38" s="34">
        <v>3.04</v>
      </c>
      <c r="E38" s="35">
        <v>2.9849999999999999</v>
      </c>
      <c r="M38" s="67">
        <v>5.0378559241896603</v>
      </c>
      <c r="N38" s="33">
        <v>3.21</v>
      </c>
      <c r="O38" s="60"/>
      <c r="Q38" s="33">
        <v>5.0378559241896603</v>
      </c>
      <c r="S38" s="137">
        <f t="shared" si="1"/>
        <v>0</v>
      </c>
      <c r="T38" s="60">
        <f>loadA!C38-loadB!S38</f>
        <v>2.3335990758103398</v>
      </c>
      <c r="U38" s="138">
        <f t="shared" si="2"/>
        <v>5.0378559241896603</v>
      </c>
    </row>
    <row r="39" spans="1:21" x14ac:dyDescent="0.3">
      <c r="A39" s="15" t="s">
        <v>83</v>
      </c>
      <c r="B39" s="67">
        <v>1.150719495967742</v>
      </c>
      <c r="C39" s="33">
        <v>1.150719495967742</v>
      </c>
      <c r="D39" s="34">
        <v>4.3094999999999999</v>
      </c>
      <c r="E39" s="35">
        <v>4.524</v>
      </c>
      <c r="M39" s="67">
        <v>1.150719495967742</v>
      </c>
      <c r="N39" s="33">
        <v>5.1479999999999997</v>
      </c>
      <c r="O39" s="60"/>
      <c r="Q39" s="33">
        <v>1.150719495967742</v>
      </c>
      <c r="S39" s="137">
        <f t="shared" si="1"/>
        <v>0</v>
      </c>
      <c r="T39" s="60">
        <f>loadA!C39-loadB!S39</f>
        <v>3.0078005040322582</v>
      </c>
      <c r="U39" s="138">
        <f t="shared" si="2"/>
        <v>1.150719495967742</v>
      </c>
    </row>
    <row r="40" spans="1:21" x14ac:dyDescent="0.3">
      <c r="A40" s="15" t="s">
        <v>84</v>
      </c>
      <c r="B40" s="67">
        <v>1.3591611687087652</v>
      </c>
      <c r="C40" s="33">
        <v>1.3591611687087652</v>
      </c>
      <c r="D40" s="34">
        <v>5.33</v>
      </c>
      <c r="E40" s="35">
        <v>5.2520000000000007</v>
      </c>
      <c r="M40" s="67">
        <v>1.3591611687087652</v>
      </c>
      <c r="N40" s="33">
        <v>5.694</v>
      </c>
      <c r="O40" s="60"/>
      <c r="Q40" s="33">
        <v>1.3591611687087652</v>
      </c>
      <c r="S40" s="137">
        <f t="shared" si="1"/>
        <v>0</v>
      </c>
      <c r="T40" s="60">
        <f>loadA!C40-loadB!S40</f>
        <v>5.8511888312912346</v>
      </c>
      <c r="U40" s="138">
        <f t="shared" si="2"/>
        <v>1.3591611687087652</v>
      </c>
    </row>
    <row r="41" spans="1:21" x14ac:dyDescent="0.3">
      <c r="A41" s="15" t="s">
        <v>85</v>
      </c>
      <c r="B41" s="67">
        <v>7.5790635771464654</v>
      </c>
      <c r="C41" s="33">
        <v>7.5790635771464654</v>
      </c>
      <c r="D41" s="34">
        <v>4.8879999999999999</v>
      </c>
      <c r="E41" s="35">
        <v>4.7060000000000004</v>
      </c>
      <c r="M41" s="67">
        <v>7.5790635771464654</v>
      </c>
      <c r="N41" s="33">
        <v>5.4859999999999998</v>
      </c>
      <c r="O41" s="60"/>
      <c r="Q41" s="33">
        <v>7.5790635771464654</v>
      </c>
      <c r="S41" s="137">
        <f t="shared" si="1"/>
        <v>0</v>
      </c>
      <c r="T41" s="60">
        <f>loadA!C41-loadB!S41</f>
        <v>6.0384364228535343</v>
      </c>
      <c r="U41" s="138">
        <f t="shared" si="2"/>
        <v>7.5790635771464654</v>
      </c>
    </row>
    <row r="42" spans="1:21" x14ac:dyDescent="0.3">
      <c r="A42" s="15" t="s">
        <v>86</v>
      </c>
      <c r="B42" s="67">
        <v>5.719892082523125</v>
      </c>
      <c r="C42" s="33">
        <v>5.719892082523125</v>
      </c>
      <c r="D42" s="34">
        <v>3.6150000000000002</v>
      </c>
      <c r="E42" s="35">
        <v>3.5049999999999999</v>
      </c>
      <c r="M42" s="67">
        <v>5.719892082523125</v>
      </c>
      <c r="N42" s="33">
        <v>3.8149999999999999</v>
      </c>
      <c r="O42" s="60"/>
      <c r="Q42" s="33">
        <v>5.719892082523125</v>
      </c>
      <c r="S42" s="137">
        <f t="shared" si="1"/>
        <v>0</v>
      </c>
      <c r="T42" s="60">
        <f>loadA!C42-loadB!S42</f>
        <v>2.6495269174768756</v>
      </c>
      <c r="U42" s="138">
        <f t="shared" si="2"/>
        <v>5.719892082523125</v>
      </c>
    </row>
    <row r="43" spans="1:21" x14ac:dyDescent="0.3">
      <c r="A43" s="15" t="s">
        <v>87</v>
      </c>
      <c r="B43" s="67">
        <v>6.6122660751012443</v>
      </c>
      <c r="C43" s="33">
        <v>6.6122660751012443</v>
      </c>
      <c r="D43" s="34">
        <v>2.895</v>
      </c>
      <c r="E43" s="35">
        <v>2.98</v>
      </c>
      <c r="M43" s="67">
        <v>6.6122660751012443</v>
      </c>
      <c r="N43" s="33">
        <v>3.2850000000000001</v>
      </c>
      <c r="O43" s="60"/>
      <c r="Q43" s="33">
        <v>6.6122660751012443</v>
      </c>
      <c r="S43" s="137">
        <f t="shared" si="1"/>
        <v>0</v>
      </c>
      <c r="T43" s="60">
        <f>loadA!C43-loadB!S43</f>
        <v>3.0628859248987563</v>
      </c>
      <c r="U43" s="138">
        <f t="shared" si="2"/>
        <v>6.6122660751012443</v>
      </c>
    </row>
    <row r="44" spans="1:21" x14ac:dyDescent="0.3">
      <c r="A44" s="15" t="s">
        <v>88</v>
      </c>
      <c r="B44" s="67">
        <v>7.2430653673677501</v>
      </c>
      <c r="C44" s="33">
        <v>7.2430653673677501</v>
      </c>
      <c r="D44" s="34">
        <v>3.3200000000000003</v>
      </c>
      <c r="E44" s="35">
        <v>3.056</v>
      </c>
      <c r="M44" s="67">
        <v>7.2430653673677501</v>
      </c>
      <c r="N44" s="33">
        <v>3.7</v>
      </c>
      <c r="O44" s="60"/>
      <c r="Q44" s="33">
        <v>7.2430653673677501</v>
      </c>
      <c r="S44" s="137">
        <f t="shared" si="1"/>
        <v>0</v>
      </c>
      <c r="T44" s="60">
        <f>loadA!C44-loadB!S44</f>
        <v>3.9589946326322494</v>
      </c>
      <c r="U44" s="138">
        <f t="shared" si="2"/>
        <v>7.2430653673677501</v>
      </c>
    </row>
    <row r="45" spans="1:21" x14ac:dyDescent="0.3">
      <c r="A45" s="15" t="s">
        <v>89</v>
      </c>
      <c r="B45" s="67">
        <v>1.7823156486381957</v>
      </c>
      <c r="C45" s="33">
        <v>0.71292625945527832</v>
      </c>
      <c r="D45" s="34">
        <v>1.8879999999999999</v>
      </c>
      <c r="E45" s="35">
        <v>1.6479999999999997</v>
      </c>
      <c r="F45" s="1">
        <f t="shared" ref="F45:F59" si="4">C45*2.5</f>
        <v>1.7823156486381957</v>
      </c>
      <c r="M45" s="67">
        <v>0.71292625945527832</v>
      </c>
      <c r="N45" s="33">
        <v>2.0999999999999996</v>
      </c>
      <c r="O45" s="60"/>
      <c r="Q45" s="33">
        <v>1.7823156486381957</v>
      </c>
      <c r="S45" s="137">
        <f t="shared" si="1"/>
        <v>1.0693893891829174</v>
      </c>
      <c r="T45" s="60">
        <f>loadA!C45-loadB!S45</f>
        <v>2.8765243513618044</v>
      </c>
      <c r="U45" s="138">
        <f t="shared" si="2"/>
        <v>1.7823156486381957</v>
      </c>
    </row>
    <row r="46" spans="1:21" x14ac:dyDescent="0.3">
      <c r="A46" s="15" t="s">
        <v>90</v>
      </c>
      <c r="B46" s="67">
        <v>1.828014319074112</v>
      </c>
      <c r="C46" s="33">
        <v>0.73120572762964486</v>
      </c>
      <c r="D46" s="34">
        <v>1.54</v>
      </c>
      <c r="E46" s="35">
        <v>1.7219999999999995</v>
      </c>
      <c r="F46" s="1">
        <f t="shared" si="4"/>
        <v>1.828014319074112</v>
      </c>
      <c r="M46" s="67">
        <v>0.73120572762964486</v>
      </c>
      <c r="N46" s="33">
        <v>2.0380000000000003</v>
      </c>
      <c r="O46" s="60"/>
      <c r="Q46" s="33">
        <v>1.828014319074112</v>
      </c>
      <c r="S46" s="137">
        <f t="shared" si="1"/>
        <v>1.0968085914444672</v>
      </c>
      <c r="T46" s="60">
        <f>loadA!C46-loadB!S46</f>
        <v>1.7509646809258876</v>
      </c>
      <c r="U46" s="138">
        <f t="shared" si="2"/>
        <v>1.828014319074112</v>
      </c>
    </row>
    <row r="47" spans="1:21" x14ac:dyDescent="0.3">
      <c r="A47" s="15" t="s">
        <v>91</v>
      </c>
      <c r="B47" s="67">
        <v>2.0693304156567356</v>
      </c>
      <c r="C47" s="33">
        <v>0.82773216626269419</v>
      </c>
      <c r="D47" s="34">
        <v>0.90450000000000053</v>
      </c>
      <c r="E47" s="35">
        <v>0.94950000000000045</v>
      </c>
      <c r="F47" s="1">
        <f t="shared" si="4"/>
        <v>2.0693304156567356</v>
      </c>
      <c r="M47" s="67">
        <v>0.82773216626269419</v>
      </c>
      <c r="N47" s="33">
        <v>1.0034999999999998</v>
      </c>
      <c r="O47" s="60"/>
      <c r="Q47" s="33">
        <v>2.0693304156567356</v>
      </c>
      <c r="S47" s="137">
        <f t="shared" si="1"/>
        <v>1.2415982493940414</v>
      </c>
      <c r="T47" s="60">
        <f>loadA!C47-loadB!S47</f>
        <v>7.7588205843432654</v>
      </c>
      <c r="U47" s="138">
        <f t="shared" si="2"/>
        <v>2.0693304156567356</v>
      </c>
    </row>
    <row r="48" spans="1:21" x14ac:dyDescent="0.3">
      <c r="A48" s="15" t="s">
        <v>92</v>
      </c>
      <c r="B48" s="67">
        <v>0.95326634099374963</v>
      </c>
      <c r="C48" s="33">
        <v>0.38130653639749984</v>
      </c>
      <c r="D48" s="34">
        <v>0.8595000000000006</v>
      </c>
      <c r="E48" s="35">
        <v>0.82050000000000001</v>
      </c>
      <c r="F48" s="1">
        <f t="shared" si="4"/>
        <v>0.95326634099374963</v>
      </c>
      <c r="M48" s="67">
        <v>0.38130653639749984</v>
      </c>
      <c r="N48" s="33">
        <v>0.94500000000000028</v>
      </c>
      <c r="O48" s="60"/>
      <c r="Q48" s="33">
        <v>0.95326634099374963</v>
      </c>
      <c r="S48" s="137">
        <f t="shared" si="1"/>
        <v>0.57195980459624973</v>
      </c>
      <c r="T48" s="60">
        <f>loadA!C48-loadB!S48</f>
        <v>5.6472956590062502</v>
      </c>
      <c r="U48" s="138">
        <f t="shared" si="2"/>
        <v>0.95326634099374963</v>
      </c>
    </row>
    <row r="49" spans="1:21" x14ac:dyDescent="0.3">
      <c r="A49" s="15" t="s">
        <v>93</v>
      </c>
      <c r="B49" s="67">
        <v>1.0407530104440448</v>
      </c>
      <c r="C49" s="33">
        <v>0.4163012041776179</v>
      </c>
      <c r="D49" s="34">
        <v>0.89400000000000013</v>
      </c>
      <c r="E49" s="35">
        <v>0.87150000000000016</v>
      </c>
      <c r="F49" s="1">
        <f t="shared" si="4"/>
        <v>1.0407530104440448</v>
      </c>
      <c r="M49" s="67">
        <v>0.4163012041776179</v>
      </c>
      <c r="N49" s="33">
        <v>0.97200000000000042</v>
      </c>
      <c r="O49" s="60"/>
      <c r="Q49" s="33">
        <v>1.0407530104440448</v>
      </c>
      <c r="S49" s="137">
        <f t="shared" si="1"/>
        <v>0.62445180626642682</v>
      </c>
      <c r="T49" s="60">
        <f>loadA!C49-loadB!S49</f>
        <v>2.2482539895559555</v>
      </c>
      <c r="U49" s="138">
        <f t="shared" si="2"/>
        <v>1.0407530104440448</v>
      </c>
    </row>
    <row r="50" spans="1:21" x14ac:dyDescent="0.3">
      <c r="A50" s="15" t="s">
        <v>94</v>
      </c>
      <c r="B50" s="67">
        <v>1.5711102915977531</v>
      </c>
      <c r="C50" s="33">
        <v>0.62844411663910127</v>
      </c>
      <c r="D50" s="34">
        <v>0.8595000000000006</v>
      </c>
      <c r="E50" s="35">
        <v>0.91500000000000004</v>
      </c>
      <c r="F50" s="1">
        <f t="shared" si="4"/>
        <v>1.5711102915977531</v>
      </c>
      <c r="M50" s="67">
        <v>0.62844411663910127</v>
      </c>
      <c r="N50" s="33">
        <v>0.97500000000000053</v>
      </c>
      <c r="O50" s="60"/>
      <c r="Q50" s="33">
        <v>1.5711102915977531</v>
      </c>
      <c r="S50" s="137">
        <f t="shared" si="1"/>
        <v>0.94266617495865179</v>
      </c>
      <c r="T50" s="60">
        <f>loadA!C50-loadB!S50</f>
        <v>2.6465667084022471</v>
      </c>
      <c r="U50" s="138">
        <f t="shared" si="2"/>
        <v>1.5711102915977531</v>
      </c>
    </row>
    <row r="51" spans="1:21" x14ac:dyDescent="0.3">
      <c r="A51" s="15" t="s">
        <v>95</v>
      </c>
      <c r="B51" s="67">
        <v>1.8320415994429196</v>
      </c>
      <c r="C51" s="33">
        <v>0.73281663977716782</v>
      </c>
      <c r="D51" s="34">
        <v>0.65700000000000003</v>
      </c>
      <c r="E51" s="35">
        <v>0.67200000000000015</v>
      </c>
      <c r="F51" s="1">
        <f t="shared" si="4"/>
        <v>1.8320415994429196</v>
      </c>
      <c r="M51" s="67">
        <v>0.73281663977716782</v>
      </c>
      <c r="N51" s="33">
        <v>0.64950000000000019</v>
      </c>
      <c r="O51" s="60"/>
      <c r="Q51" s="33">
        <v>1.8320415994429196</v>
      </c>
      <c r="S51" s="137">
        <f t="shared" si="1"/>
        <v>1.0992249596657517</v>
      </c>
      <c r="T51" s="60">
        <f>loadA!C51-loadB!S51</f>
        <v>2.2509284005570809</v>
      </c>
      <c r="U51" s="138">
        <f t="shared" si="2"/>
        <v>1.8320415994429196</v>
      </c>
    </row>
    <row r="52" spans="1:21" x14ac:dyDescent="0.3">
      <c r="A52" s="15" t="s">
        <v>96</v>
      </c>
      <c r="B52" s="67">
        <v>1.3405825759577277</v>
      </c>
      <c r="C52" s="33">
        <v>0.53623303038309111</v>
      </c>
      <c r="D52" s="34">
        <v>0.59699999999999998</v>
      </c>
      <c r="E52" s="35">
        <v>0.62400000000000011</v>
      </c>
      <c r="F52" s="1">
        <f t="shared" si="4"/>
        <v>1.3405825759577277</v>
      </c>
      <c r="M52" s="67">
        <v>0.53623303038309111</v>
      </c>
      <c r="N52" s="33">
        <v>0.64650000000000007</v>
      </c>
      <c r="O52" s="60"/>
      <c r="Q52" s="33">
        <v>1.3405825759577277</v>
      </c>
      <c r="S52" s="137">
        <f t="shared" si="1"/>
        <v>0.80434954557463656</v>
      </c>
      <c r="T52" s="60">
        <f>loadA!C52-loadB!S52</f>
        <v>0.87760542404227238</v>
      </c>
      <c r="U52" s="138">
        <f t="shared" si="2"/>
        <v>1.3405825759577277</v>
      </c>
    </row>
    <row r="53" spans="1:21" x14ac:dyDescent="0.3">
      <c r="A53" s="15" t="s">
        <v>97</v>
      </c>
      <c r="B53" s="67">
        <v>1.4278260733157198</v>
      </c>
      <c r="C53" s="33">
        <v>0.57113042932628788</v>
      </c>
      <c r="D53" s="34">
        <v>0.61050000000000004</v>
      </c>
      <c r="E53" s="35">
        <v>0.61949999999999994</v>
      </c>
      <c r="F53" s="1">
        <f t="shared" si="4"/>
        <v>1.4278260733157198</v>
      </c>
      <c r="M53" s="67">
        <v>0.57113042932628788</v>
      </c>
      <c r="N53" s="33">
        <v>0.66000000000000014</v>
      </c>
      <c r="O53" s="60"/>
      <c r="Q53" s="33">
        <v>1.4278260733157198</v>
      </c>
      <c r="S53" s="137">
        <f t="shared" si="1"/>
        <v>0.85669564398943188</v>
      </c>
      <c r="T53" s="60">
        <f>loadA!C53-loadB!S53</f>
        <v>0.93471892668428003</v>
      </c>
      <c r="U53" s="138">
        <f t="shared" si="2"/>
        <v>1.4278260733157198</v>
      </c>
    </row>
    <row r="54" spans="1:21" x14ac:dyDescent="0.3">
      <c r="A54" s="15" t="s">
        <v>98</v>
      </c>
      <c r="B54" s="67">
        <v>2.0805670615023133</v>
      </c>
      <c r="C54" s="33">
        <v>0.83222682460092534</v>
      </c>
      <c r="D54" s="34">
        <v>0.64049999999999985</v>
      </c>
      <c r="E54" s="35">
        <v>0.58349999999999991</v>
      </c>
      <c r="F54" s="1">
        <f t="shared" si="4"/>
        <v>2.0805670615023133</v>
      </c>
      <c r="M54" s="67">
        <v>0.83222682460092534</v>
      </c>
      <c r="N54" s="33">
        <v>0.62550000000000017</v>
      </c>
      <c r="O54" s="60"/>
      <c r="Q54" s="33">
        <v>2.0805670615023133</v>
      </c>
      <c r="S54" s="137">
        <f t="shared" si="1"/>
        <v>1.2483402369013881</v>
      </c>
      <c r="T54" s="60">
        <f>loadA!C54-loadB!S54</f>
        <v>1.3551149384976866</v>
      </c>
      <c r="U54" s="138">
        <f t="shared" si="2"/>
        <v>2.0805670615023133</v>
      </c>
    </row>
    <row r="55" spans="1:21" x14ac:dyDescent="0.3">
      <c r="A55" s="15" t="s">
        <v>99</v>
      </c>
      <c r="B55" s="67">
        <v>1.8361044497735146</v>
      </c>
      <c r="C55" s="33">
        <v>0.73444177990940585</v>
      </c>
      <c r="D55" s="34">
        <v>0.68700000000000028</v>
      </c>
      <c r="E55" s="35">
        <v>0.61500000000000021</v>
      </c>
      <c r="F55" s="1">
        <f t="shared" si="4"/>
        <v>1.8361044497735146</v>
      </c>
      <c r="M55" s="67">
        <v>0.73444177990940585</v>
      </c>
      <c r="N55" s="33">
        <v>0.63450000000000006</v>
      </c>
      <c r="O55" s="60"/>
      <c r="Q55" s="33">
        <v>1.8361044497735146</v>
      </c>
      <c r="S55" s="137">
        <f t="shared" si="1"/>
        <v>1.1016626698641088</v>
      </c>
      <c r="T55" s="60">
        <f>loadA!C55-loadB!S55</f>
        <v>1.1958915502264853</v>
      </c>
      <c r="U55" s="138">
        <f t="shared" si="2"/>
        <v>1.8361044497735146</v>
      </c>
    </row>
    <row r="56" spans="1:21" x14ac:dyDescent="0.3">
      <c r="A56" s="15" t="s">
        <v>100</v>
      </c>
      <c r="B56" s="67">
        <v>2.1158299240422718</v>
      </c>
      <c r="C56" s="33">
        <v>0.84633196961690871</v>
      </c>
      <c r="D56" s="34">
        <v>0.82200000000000006</v>
      </c>
      <c r="E56" s="35">
        <v>0.76649999999999974</v>
      </c>
      <c r="F56" s="1">
        <f t="shared" si="4"/>
        <v>2.1158299240422718</v>
      </c>
      <c r="M56" s="67">
        <v>0.84633196961690871</v>
      </c>
      <c r="N56" s="33">
        <v>0.84450000000000003</v>
      </c>
      <c r="O56" s="60"/>
      <c r="Q56" s="33">
        <v>2.1158299240422718</v>
      </c>
      <c r="S56" s="137">
        <f t="shared" si="1"/>
        <v>1.2694979544253631</v>
      </c>
      <c r="T56" s="60">
        <f>loadA!C56-loadB!S56</f>
        <v>1.3851170759577283</v>
      </c>
      <c r="U56" s="138">
        <f t="shared" si="2"/>
        <v>2.1158299240422718</v>
      </c>
    </row>
    <row r="57" spans="1:21" x14ac:dyDescent="0.3">
      <c r="A57" s="15" t="s">
        <v>101</v>
      </c>
      <c r="B57" s="67">
        <v>1.6048628599735797</v>
      </c>
      <c r="C57" s="33">
        <v>0.64194514398943192</v>
      </c>
      <c r="D57" s="34">
        <v>0.87450000000000028</v>
      </c>
      <c r="E57" s="35">
        <v>0.91049999999999986</v>
      </c>
      <c r="F57" s="1">
        <f t="shared" si="4"/>
        <v>1.6048628599735797</v>
      </c>
      <c r="M57" s="67">
        <v>0.64194514398943192</v>
      </c>
      <c r="N57" s="33">
        <v>0.96150000000000002</v>
      </c>
      <c r="O57" s="60"/>
      <c r="Q57" s="33">
        <v>1.6048628599735797</v>
      </c>
      <c r="S57" s="137">
        <f t="shared" si="1"/>
        <v>0.96291771598414777</v>
      </c>
      <c r="T57" s="60">
        <f>loadA!C57-loadB!S57</f>
        <v>1.0506151400264201</v>
      </c>
      <c r="U57" s="138">
        <f t="shared" si="2"/>
        <v>1.6048628599735797</v>
      </c>
    </row>
    <row r="58" spans="1:21" x14ac:dyDescent="0.3">
      <c r="A58" s="15" t="s">
        <v>102</v>
      </c>
      <c r="B58" s="67">
        <v>1.1937239710097896</v>
      </c>
      <c r="C58" s="33">
        <v>0.47748958840391581</v>
      </c>
      <c r="D58" s="34">
        <v>1.202</v>
      </c>
      <c r="E58" s="35">
        <v>1.1799999999999997</v>
      </c>
      <c r="F58" s="1">
        <f t="shared" si="4"/>
        <v>1.1937239710097896</v>
      </c>
      <c r="M58" s="67">
        <v>0.47748958840391581</v>
      </c>
      <c r="N58" s="33">
        <v>1.1819999999999995</v>
      </c>
      <c r="O58" s="60"/>
      <c r="Q58" s="33">
        <v>1.1937239710097896</v>
      </c>
      <c r="S58" s="137">
        <f t="shared" si="1"/>
        <v>0.71623438260587369</v>
      </c>
      <c r="T58" s="60">
        <f>loadA!C58-loadB!S58</f>
        <v>0.57193702899021037</v>
      </c>
      <c r="U58" s="138">
        <f t="shared" si="2"/>
        <v>1.1937239710097896</v>
      </c>
    </row>
    <row r="59" spans="1:21" x14ac:dyDescent="0.3">
      <c r="A59" s="15" t="s">
        <v>103</v>
      </c>
      <c r="B59" s="67">
        <v>1.6031424344025305</v>
      </c>
      <c r="C59" s="33">
        <v>0.64125697376101221</v>
      </c>
      <c r="D59" s="34">
        <v>1.1280000000000001</v>
      </c>
      <c r="E59" s="35">
        <v>1.3539999999999992</v>
      </c>
      <c r="F59" s="1">
        <f t="shared" si="4"/>
        <v>1.6031424344025305</v>
      </c>
      <c r="M59" s="67">
        <v>0.64125697376101221</v>
      </c>
      <c r="N59" s="33">
        <v>1.3899999999999997</v>
      </c>
      <c r="O59" s="60"/>
      <c r="Q59" s="33">
        <v>1.6031424344025305</v>
      </c>
      <c r="S59" s="137">
        <f t="shared" si="1"/>
        <v>0.96188546064151825</v>
      </c>
      <c r="T59" s="60">
        <f>loadA!C59-loadB!S59</f>
        <v>0.75889556559746973</v>
      </c>
      <c r="U59" s="138">
        <f t="shared" si="2"/>
        <v>1.6031424344025305</v>
      </c>
    </row>
    <row r="60" spans="1:21" x14ac:dyDescent="0.3">
      <c r="A60" s="15" t="s">
        <v>104</v>
      </c>
      <c r="B60" s="67">
        <v>7.7196892498127347</v>
      </c>
      <c r="C60" s="33">
        <v>7.7196892498127347</v>
      </c>
      <c r="D60" s="34">
        <v>2.0040000000000004</v>
      </c>
      <c r="E60" s="35">
        <v>2.0820000000000007</v>
      </c>
      <c r="M60" s="67">
        <v>7.7196892498127347</v>
      </c>
      <c r="N60" s="33">
        <v>1.9169999999999998</v>
      </c>
      <c r="O60" s="60"/>
      <c r="Q60" s="33">
        <v>7.7196892498127347</v>
      </c>
      <c r="S60" s="137">
        <f t="shared" si="1"/>
        <v>0</v>
      </c>
      <c r="T60" s="60">
        <f>loadA!C60-loadB!S60</f>
        <v>1.8505067501872645</v>
      </c>
      <c r="U60" s="138">
        <f t="shared" si="2"/>
        <v>7.7196892498127347</v>
      </c>
    </row>
    <row r="61" spans="1:21" x14ac:dyDescent="0.3">
      <c r="A61" s="15" t="s">
        <v>105</v>
      </c>
      <c r="B61" s="67">
        <v>7.0886889343061101</v>
      </c>
      <c r="C61" s="33">
        <v>7.0886889343061101</v>
      </c>
      <c r="D61" s="34">
        <v>2.99</v>
      </c>
      <c r="E61" s="35">
        <v>2.77</v>
      </c>
      <c r="M61" s="67">
        <v>7.0886889343061101</v>
      </c>
      <c r="N61" s="33">
        <v>2.9249999999999998</v>
      </c>
      <c r="O61" s="60"/>
      <c r="Q61" s="33">
        <v>7.0886889343061101</v>
      </c>
      <c r="S61" s="137">
        <f t="shared" si="1"/>
        <v>0</v>
      </c>
      <c r="T61" s="60">
        <f>loadA!C61-loadB!S61</f>
        <v>3.2835710656938906</v>
      </c>
      <c r="U61" s="138">
        <f t="shared" si="2"/>
        <v>7.0886889343061101</v>
      </c>
    </row>
    <row r="62" spans="1:21" x14ac:dyDescent="0.3">
      <c r="A62" s="15" t="s">
        <v>106</v>
      </c>
      <c r="B62" s="67">
        <v>9.4927754282157562</v>
      </c>
      <c r="C62" s="33">
        <v>9.4927754282157562</v>
      </c>
      <c r="D62" s="34">
        <v>3.11</v>
      </c>
      <c r="E62" s="35">
        <v>3.01</v>
      </c>
      <c r="M62" s="67">
        <v>9.4927754282157562</v>
      </c>
      <c r="N62" s="33">
        <v>3.0550000000000002</v>
      </c>
      <c r="O62" s="60"/>
      <c r="Q62" s="33">
        <v>9.4927754282157562</v>
      </c>
      <c r="S62" s="137">
        <f t="shared" si="1"/>
        <v>0</v>
      </c>
      <c r="T62" s="60">
        <f>loadA!C62-loadB!S62</f>
        <v>4.3971745717842445</v>
      </c>
      <c r="U62" s="138">
        <f t="shared" si="2"/>
        <v>9.4927754282157562</v>
      </c>
    </row>
    <row r="63" spans="1:21" x14ac:dyDescent="0.3">
      <c r="A63" s="15" t="s">
        <v>107</v>
      </c>
      <c r="B63" s="67">
        <v>1.1676701476814515</v>
      </c>
      <c r="C63" s="33">
        <v>1.1676701476814515</v>
      </c>
      <c r="D63" s="34">
        <v>4.0365000000000002</v>
      </c>
      <c r="E63" s="35">
        <v>4.42</v>
      </c>
      <c r="M63" s="67">
        <v>1.1676701476814515</v>
      </c>
      <c r="N63" s="33">
        <v>4.3354999999999997</v>
      </c>
      <c r="O63" s="60"/>
      <c r="Q63" s="33">
        <v>1.1676701476814515</v>
      </c>
      <c r="S63" s="137">
        <f t="shared" si="1"/>
        <v>0</v>
      </c>
      <c r="T63" s="60">
        <f>loadA!C63-loadB!S63</f>
        <v>3.0521068523185484</v>
      </c>
      <c r="U63" s="138">
        <f t="shared" si="2"/>
        <v>1.1676701476814515</v>
      </c>
    </row>
    <row r="64" spans="1:21" x14ac:dyDescent="0.3">
      <c r="A64" s="15" t="s">
        <v>108</v>
      </c>
      <c r="B64" s="67">
        <v>1.2577195098963243</v>
      </c>
      <c r="C64" s="33">
        <v>1.2577195098963243</v>
      </c>
      <c r="D64" s="34">
        <v>4.8034999999999997</v>
      </c>
      <c r="E64" s="35">
        <v>4.8425000000000002</v>
      </c>
      <c r="M64" s="67">
        <v>1.2577195098963243</v>
      </c>
      <c r="N64" s="33">
        <v>5.1870000000000003</v>
      </c>
      <c r="O64" s="60"/>
      <c r="Q64" s="33">
        <v>1.2577195098963243</v>
      </c>
      <c r="S64" s="137">
        <f t="shared" si="1"/>
        <v>0</v>
      </c>
      <c r="T64" s="60">
        <f>loadA!C64-loadB!S64</f>
        <v>5.4144824901036763</v>
      </c>
      <c r="U64" s="138">
        <f t="shared" si="2"/>
        <v>1.2577195098963243</v>
      </c>
    </row>
    <row r="65" spans="1:21" x14ac:dyDescent="0.3">
      <c r="A65" s="15" t="s">
        <v>109</v>
      </c>
      <c r="B65" s="67">
        <v>6.6164292777231672</v>
      </c>
      <c r="C65" s="33">
        <v>6.6164292777231672</v>
      </c>
      <c r="D65" s="34">
        <v>4.9725000000000001</v>
      </c>
      <c r="E65" s="35">
        <v>4.1859999999999999</v>
      </c>
      <c r="M65" s="67">
        <v>6.6164292777231672</v>
      </c>
      <c r="N65" s="33">
        <v>4.641</v>
      </c>
      <c r="O65" s="60"/>
      <c r="Q65" s="33">
        <v>6.6164292777231672</v>
      </c>
      <c r="S65" s="137">
        <f t="shared" si="1"/>
        <v>0</v>
      </c>
      <c r="T65" s="60">
        <f>loadA!C65-loadB!S65</f>
        <v>5.2714807222768325</v>
      </c>
      <c r="U65" s="138">
        <f t="shared" si="2"/>
        <v>6.6164292777231672</v>
      </c>
    </row>
    <row r="66" spans="1:21" x14ac:dyDescent="0.3">
      <c r="A66" s="15" t="s">
        <v>110</v>
      </c>
      <c r="B66" s="67">
        <v>8.0715808644679417</v>
      </c>
      <c r="C66" s="33">
        <v>8.0715808644679417</v>
      </c>
      <c r="D66" s="34">
        <v>3.53</v>
      </c>
      <c r="E66" s="35">
        <v>3.12</v>
      </c>
      <c r="M66" s="67">
        <v>8.0715808644679417</v>
      </c>
      <c r="N66" s="33">
        <v>3.35</v>
      </c>
      <c r="O66" s="60"/>
      <c r="Q66" s="33">
        <v>8.0715808644679417</v>
      </c>
      <c r="S66" s="137">
        <f t="shared" si="1"/>
        <v>0</v>
      </c>
      <c r="T66" s="60">
        <f>loadA!C66-loadB!S66</f>
        <v>3.7388591355320582</v>
      </c>
      <c r="U66" s="138">
        <f t="shared" si="2"/>
        <v>8.0715808644679417</v>
      </c>
    </row>
    <row r="67" spans="1:21" x14ac:dyDescent="0.3">
      <c r="A67" s="15" t="s">
        <v>111</v>
      </c>
      <c r="B67" s="67">
        <v>7.7234701734923821</v>
      </c>
      <c r="C67" s="33">
        <v>7.7234701734923821</v>
      </c>
      <c r="D67" s="34">
        <v>2.8149999999999999</v>
      </c>
      <c r="E67" s="35">
        <v>2.625</v>
      </c>
      <c r="M67" s="67">
        <v>7.7234701734923821</v>
      </c>
      <c r="N67" s="33">
        <v>2.76</v>
      </c>
      <c r="O67" s="60"/>
      <c r="Q67" s="33">
        <v>7.7234701734923821</v>
      </c>
      <c r="S67" s="137">
        <f t="shared" si="1"/>
        <v>0</v>
      </c>
      <c r="T67" s="60">
        <f>loadA!C67-loadB!S67</f>
        <v>3.5776098265076186</v>
      </c>
      <c r="U67" s="138">
        <f t="shared" si="2"/>
        <v>7.7234701734923821</v>
      </c>
    </row>
    <row r="68" spans="1:21" x14ac:dyDescent="0.3">
      <c r="A68" s="15" t="s">
        <v>112</v>
      </c>
      <c r="B68" s="67">
        <v>10.415817486567718</v>
      </c>
      <c r="C68" s="33">
        <v>10.415817486567718</v>
      </c>
      <c r="D68" s="34">
        <v>3.5040000000000004</v>
      </c>
      <c r="E68" s="35">
        <v>3.34</v>
      </c>
      <c r="M68" s="67">
        <v>10.415817486567718</v>
      </c>
      <c r="N68" s="33">
        <v>3.3639999999999999</v>
      </c>
      <c r="O68" s="60"/>
      <c r="Q68" s="33">
        <v>10.415817486567718</v>
      </c>
      <c r="S68" s="137">
        <f t="shared" ref="S68:S131" si="5">IF(F68&gt;0,F68-C68,0)</f>
        <v>0</v>
      </c>
      <c r="T68" s="60">
        <f>loadA!C68-loadB!S68</f>
        <v>5.6931925134322832</v>
      </c>
      <c r="U68" s="138">
        <f t="shared" ref="U68:U131" si="6">C68+S68</f>
        <v>10.415817486567718</v>
      </c>
    </row>
    <row r="69" spans="1:21" x14ac:dyDescent="0.3">
      <c r="A69" s="15" t="s">
        <v>113</v>
      </c>
      <c r="B69" s="67">
        <v>3.3489510726144474</v>
      </c>
      <c r="C69" s="33">
        <v>1.3395804290457789</v>
      </c>
      <c r="D69" s="34">
        <v>1.6280000000000001</v>
      </c>
      <c r="E69" s="35">
        <v>1.6779999999999999</v>
      </c>
      <c r="F69" s="1">
        <f t="shared" ref="F69:F83" si="7">C69*2.5</f>
        <v>3.3489510726144474</v>
      </c>
      <c r="M69" s="67">
        <v>1.3395804290457789</v>
      </c>
      <c r="N69" s="33">
        <v>1.782</v>
      </c>
      <c r="O69" s="60"/>
      <c r="Q69" s="33">
        <v>3.3489510726144474</v>
      </c>
      <c r="S69" s="137">
        <f t="shared" si="5"/>
        <v>2.0093706435686682</v>
      </c>
      <c r="T69" s="60">
        <f>loadA!C69-loadB!S69</f>
        <v>5.4049569273855518</v>
      </c>
      <c r="U69" s="138">
        <f t="shared" si="6"/>
        <v>3.3489510726144474</v>
      </c>
    </row>
    <row r="70" spans="1:21" x14ac:dyDescent="0.3">
      <c r="A70" s="15" t="s">
        <v>114</v>
      </c>
      <c r="B70" s="67">
        <v>1.7183343486593605</v>
      </c>
      <c r="C70" s="33">
        <v>0.6873337394637441</v>
      </c>
      <c r="D70" s="34">
        <v>1.7939999999999996</v>
      </c>
      <c r="E70" s="35">
        <v>1.7719999999999994</v>
      </c>
      <c r="F70" s="1">
        <f t="shared" si="7"/>
        <v>1.7183343486593603</v>
      </c>
      <c r="M70" s="67">
        <v>0.6873337394637441</v>
      </c>
      <c r="N70" s="33">
        <v>1.8579999999999997</v>
      </c>
      <c r="O70" s="60"/>
      <c r="Q70" s="33">
        <v>1.7183343486593605</v>
      </c>
      <c r="S70" s="137">
        <f t="shared" si="5"/>
        <v>1.0310006091956163</v>
      </c>
      <c r="T70" s="60">
        <f>loadA!C70-loadB!S70</f>
        <v>1.6459076513406394</v>
      </c>
      <c r="U70" s="138">
        <f t="shared" si="6"/>
        <v>1.7183343486593605</v>
      </c>
    </row>
    <row r="71" spans="1:21" x14ac:dyDescent="0.3">
      <c r="A71" s="15" t="s">
        <v>115</v>
      </c>
      <c r="B71" s="67">
        <v>2.5025901305495033</v>
      </c>
      <c r="C71" s="33">
        <v>1.0010360522198014</v>
      </c>
      <c r="D71" s="34">
        <v>0.89250000000000007</v>
      </c>
      <c r="E71" s="35">
        <v>0.78750000000000053</v>
      </c>
      <c r="F71" s="1">
        <f t="shared" si="7"/>
        <v>2.5025901305495033</v>
      </c>
      <c r="M71" s="67">
        <v>1.0010360522198014</v>
      </c>
      <c r="N71" s="33">
        <v>0.79649999999999999</v>
      </c>
      <c r="O71" s="60"/>
      <c r="Q71" s="33">
        <v>2.5025901305495033</v>
      </c>
      <c r="S71" s="137">
        <f t="shared" si="5"/>
        <v>1.5015540783297019</v>
      </c>
      <c r="T71" s="60">
        <f>loadA!C71-loadB!S71</f>
        <v>9.3832998694504965</v>
      </c>
      <c r="U71" s="138">
        <f t="shared" si="6"/>
        <v>2.5025901305495033</v>
      </c>
    </row>
    <row r="72" spans="1:21" x14ac:dyDescent="0.3">
      <c r="A72" s="15" t="s">
        <v>116</v>
      </c>
      <c r="B72" s="67">
        <v>1.7080414009722833</v>
      </c>
      <c r="C72" s="33">
        <v>0.68321656038891332</v>
      </c>
      <c r="D72" s="34">
        <v>0.85650000000000048</v>
      </c>
      <c r="E72" s="35">
        <v>0.82350000000000012</v>
      </c>
      <c r="F72" s="1">
        <f t="shared" si="7"/>
        <v>1.7080414009722833</v>
      </c>
      <c r="M72" s="67">
        <v>0.68321656038891332</v>
      </c>
      <c r="N72" s="33">
        <v>0.99600000000000044</v>
      </c>
      <c r="O72" s="60"/>
      <c r="Q72" s="33">
        <v>1.7080414009722833</v>
      </c>
      <c r="S72" s="137">
        <f t="shared" si="5"/>
        <v>1.02482484058337</v>
      </c>
      <c r="T72" s="60">
        <f>loadA!C72-loadB!S72</f>
        <v>10.118698599027715</v>
      </c>
      <c r="U72" s="138">
        <f t="shared" si="6"/>
        <v>1.7080414009722833</v>
      </c>
    </row>
    <row r="73" spans="1:21" x14ac:dyDescent="0.3">
      <c r="A73" s="15" t="s">
        <v>117</v>
      </c>
      <c r="B73" s="67">
        <v>2.1727699612671185</v>
      </c>
      <c r="C73" s="33">
        <v>0.86910798450684745</v>
      </c>
      <c r="D73" s="34">
        <v>0.83100000000000041</v>
      </c>
      <c r="E73" s="35">
        <v>0.81749999999999989</v>
      </c>
      <c r="F73" s="1">
        <f t="shared" si="7"/>
        <v>2.1727699612671185</v>
      </c>
      <c r="M73" s="67">
        <v>0.86910798450684745</v>
      </c>
      <c r="N73" s="33">
        <v>0.85050000000000026</v>
      </c>
      <c r="O73" s="60"/>
      <c r="Q73" s="33">
        <v>2.1727699612671185</v>
      </c>
      <c r="S73" s="137">
        <f t="shared" si="5"/>
        <v>1.3036619767602711</v>
      </c>
      <c r="T73" s="60">
        <f>loadA!C73-loadB!S73</f>
        <v>4.6936580387328819</v>
      </c>
      <c r="U73" s="138">
        <f t="shared" si="6"/>
        <v>2.1727699612671185</v>
      </c>
    </row>
    <row r="74" spans="1:21" x14ac:dyDescent="0.3">
      <c r="A74" s="15" t="s">
        <v>118</v>
      </c>
      <c r="B74" s="67">
        <v>1.8640751419248134</v>
      </c>
      <c r="C74" s="33">
        <v>0.74563005676992533</v>
      </c>
      <c r="D74" s="34">
        <v>0.8384999999999998</v>
      </c>
      <c r="E74" s="35">
        <v>0.80850000000000044</v>
      </c>
      <c r="F74" s="1">
        <f t="shared" si="7"/>
        <v>1.8640751419248134</v>
      </c>
      <c r="M74" s="67">
        <v>0.74563005676992533</v>
      </c>
      <c r="N74" s="33">
        <v>0.85500000000000043</v>
      </c>
      <c r="O74" s="60"/>
      <c r="Q74" s="33">
        <v>1.8640751419248134</v>
      </c>
      <c r="S74" s="137">
        <f t="shared" si="5"/>
        <v>1.1184450851548879</v>
      </c>
      <c r="T74" s="60">
        <f>loadA!C74-loadB!S74</f>
        <v>3.1400718580751867</v>
      </c>
      <c r="U74" s="138">
        <f t="shared" si="6"/>
        <v>1.8640751419248134</v>
      </c>
    </row>
    <row r="75" spans="1:21" x14ac:dyDescent="0.3">
      <c r="A75" s="15" t="s">
        <v>119</v>
      </c>
      <c r="B75" s="67">
        <v>1.4212103191922345</v>
      </c>
      <c r="C75" s="33">
        <v>0.56848412767689382</v>
      </c>
      <c r="D75" s="34">
        <v>0.5714999999999999</v>
      </c>
      <c r="E75" s="35">
        <v>0.60000000000000009</v>
      </c>
      <c r="F75" s="1">
        <f t="shared" si="7"/>
        <v>1.4212103191922345</v>
      </c>
      <c r="M75" s="67">
        <v>0.56848412767689382</v>
      </c>
      <c r="N75" s="33">
        <v>0.71849999999999969</v>
      </c>
      <c r="O75" s="60"/>
      <c r="Q75" s="33">
        <v>1.4212103191922345</v>
      </c>
      <c r="S75" s="137">
        <f t="shared" si="5"/>
        <v>0.85272619151534068</v>
      </c>
      <c r="T75" s="60">
        <f>loadA!C75-loadB!S75</f>
        <v>1.7461626808077657</v>
      </c>
      <c r="U75" s="138">
        <f t="shared" si="6"/>
        <v>1.4212103191922345</v>
      </c>
    </row>
    <row r="76" spans="1:21" x14ac:dyDescent="0.3">
      <c r="A76" s="15" t="s">
        <v>120</v>
      </c>
      <c r="B76" s="67">
        <v>2.0048671367239099</v>
      </c>
      <c r="C76" s="33">
        <v>0.80194685468956395</v>
      </c>
      <c r="D76" s="34">
        <v>0.6030000000000002</v>
      </c>
      <c r="E76" s="35">
        <v>0.61500000000000021</v>
      </c>
      <c r="F76" s="1">
        <f t="shared" si="7"/>
        <v>2.0048671367239099</v>
      </c>
      <c r="M76" s="67">
        <v>0.80194685468956395</v>
      </c>
      <c r="N76" s="33">
        <v>0.63900000000000023</v>
      </c>
      <c r="O76" s="60"/>
      <c r="Q76" s="33">
        <v>2.0048671367239099</v>
      </c>
      <c r="S76" s="137">
        <f t="shared" si="5"/>
        <v>1.2029202820343459</v>
      </c>
      <c r="T76" s="60">
        <f>loadA!C76-loadB!S76</f>
        <v>1.3124758632760902</v>
      </c>
      <c r="U76" s="138">
        <f t="shared" si="6"/>
        <v>2.0048671367239099</v>
      </c>
    </row>
    <row r="77" spans="1:21" x14ac:dyDescent="0.3">
      <c r="A77" s="15" t="s">
        <v>121</v>
      </c>
      <c r="B77" s="67">
        <v>1.8968808190224569</v>
      </c>
      <c r="C77" s="33">
        <v>0.7587523276089827</v>
      </c>
      <c r="D77" s="34">
        <v>0.61350000000000016</v>
      </c>
      <c r="E77" s="35">
        <v>0.56400000000000006</v>
      </c>
      <c r="F77" s="1">
        <f t="shared" si="7"/>
        <v>1.8968808190224569</v>
      </c>
      <c r="M77" s="67">
        <v>0.7587523276089827</v>
      </c>
      <c r="N77" s="33">
        <v>0.68550000000000022</v>
      </c>
      <c r="O77" s="60"/>
      <c r="Q77" s="33">
        <v>1.8968808190224569</v>
      </c>
      <c r="S77" s="137">
        <f t="shared" si="5"/>
        <v>1.1381284914134742</v>
      </c>
      <c r="T77" s="60">
        <f>loadA!C77-loadB!S77</f>
        <v>1.2417831809775433</v>
      </c>
      <c r="U77" s="138">
        <f t="shared" si="6"/>
        <v>1.8968808190224569</v>
      </c>
    </row>
    <row r="78" spans="1:21" x14ac:dyDescent="0.3">
      <c r="A78" s="15" t="s">
        <v>122</v>
      </c>
      <c r="B78" s="67">
        <v>1.35188576411598</v>
      </c>
      <c r="C78" s="33">
        <v>0.54075430564639204</v>
      </c>
      <c r="D78" s="34">
        <v>0.57750000000000012</v>
      </c>
      <c r="E78" s="35">
        <v>0.56550000000000011</v>
      </c>
      <c r="F78" s="1">
        <f t="shared" si="7"/>
        <v>1.35188576411598</v>
      </c>
      <c r="M78" s="67">
        <v>0.54075430564639204</v>
      </c>
      <c r="N78" s="33">
        <v>0.69300000000000006</v>
      </c>
      <c r="O78" s="60"/>
      <c r="Q78" s="33">
        <v>1.35188576411598</v>
      </c>
      <c r="S78" s="137">
        <f t="shared" si="5"/>
        <v>0.81113145846958801</v>
      </c>
      <c r="T78" s="60">
        <f>loadA!C78-loadB!S78</f>
        <v>0.88051023588402011</v>
      </c>
      <c r="U78" s="138">
        <f t="shared" si="6"/>
        <v>1.35188576411598</v>
      </c>
    </row>
    <row r="79" spans="1:21" x14ac:dyDescent="0.3">
      <c r="A79" s="15" t="s">
        <v>123</v>
      </c>
      <c r="B79" s="67">
        <v>1.2151817939587726</v>
      </c>
      <c r="C79" s="33">
        <v>0.48607271758350901</v>
      </c>
      <c r="D79" s="34">
        <v>0.60749999999999993</v>
      </c>
      <c r="E79" s="35">
        <v>0.64650000000000007</v>
      </c>
      <c r="F79" s="1">
        <f t="shared" si="7"/>
        <v>1.2151817939587726</v>
      </c>
      <c r="M79" s="67">
        <v>0.48607271758350901</v>
      </c>
      <c r="N79" s="33">
        <v>0.70650000000000013</v>
      </c>
      <c r="O79" s="60"/>
      <c r="Q79" s="33">
        <v>1.2151817939587726</v>
      </c>
      <c r="S79" s="137">
        <f t="shared" si="5"/>
        <v>0.72910907637526357</v>
      </c>
      <c r="T79" s="60">
        <f>loadA!C79-loadB!S79</f>
        <v>0.79147220604122748</v>
      </c>
      <c r="U79" s="138">
        <f t="shared" si="6"/>
        <v>1.2151817939587726</v>
      </c>
    </row>
    <row r="80" spans="1:21" x14ac:dyDescent="0.3">
      <c r="A80" s="15" t="s">
        <v>124</v>
      </c>
      <c r="B80" s="67">
        <v>1.5302589332892995</v>
      </c>
      <c r="C80" s="33">
        <v>0.61210357331571985</v>
      </c>
      <c r="D80" s="34">
        <v>0.74249999999999972</v>
      </c>
      <c r="E80" s="35">
        <v>0.81150000000000055</v>
      </c>
      <c r="F80" s="1">
        <f t="shared" si="7"/>
        <v>1.5302589332892995</v>
      </c>
      <c r="M80" s="67">
        <v>0.61210357331571985</v>
      </c>
      <c r="N80" s="33">
        <v>0.86099999999999977</v>
      </c>
      <c r="O80" s="60"/>
      <c r="Q80" s="33">
        <v>1.5302589332892995</v>
      </c>
      <c r="S80" s="137">
        <f t="shared" si="5"/>
        <v>0.91815535997357967</v>
      </c>
      <c r="T80" s="60">
        <f>loadA!C80-loadB!S80</f>
        <v>1.0017760667107005</v>
      </c>
      <c r="U80" s="138">
        <f t="shared" si="6"/>
        <v>1.5302589332892995</v>
      </c>
    </row>
    <row r="81" spans="1:21" x14ac:dyDescent="0.3">
      <c r="A81" s="15" t="s">
        <v>125</v>
      </c>
      <c r="B81" s="67">
        <v>1.7548050099075296</v>
      </c>
      <c r="C81" s="33">
        <v>0.70192200396301185</v>
      </c>
      <c r="D81" s="34">
        <v>0.90150000000000041</v>
      </c>
      <c r="E81" s="35">
        <v>0.91500000000000004</v>
      </c>
      <c r="F81" s="1">
        <f t="shared" si="7"/>
        <v>1.7548050099075296</v>
      </c>
      <c r="M81" s="67">
        <v>0.70192200396301185</v>
      </c>
      <c r="N81" s="33">
        <v>0.92850000000000055</v>
      </c>
      <c r="O81" s="60"/>
      <c r="Q81" s="33">
        <v>1.7548050099075296</v>
      </c>
      <c r="S81" s="137">
        <f t="shared" si="5"/>
        <v>1.0528830059445178</v>
      </c>
      <c r="T81" s="60">
        <f>loadA!C81-loadB!S81</f>
        <v>1.1487739900924705</v>
      </c>
      <c r="U81" s="138">
        <f t="shared" si="6"/>
        <v>1.7548050099075296</v>
      </c>
    </row>
    <row r="82" spans="1:21" x14ac:dyDescent="0.3">
      <c r="A82" s="15" t="s">
        <v>126</v>
      </c>
      <c r="B82" s="67">
        <v>1.1003583211639352</v>
      </c>
      <c r="C82" s="33">
        <v>0.44014332846557408</v>
      </c>
      <c r="D82" s="34">
        <v>1.1379999999999999</v>
      </c>
      <c r="E82" s="35">
        <v>1.1819999999999995</v>
      </c>
      <c r="F82" s="1">
        <f t="shared" si="7"/>
        <v>1.1003583211639352</v>
      </c>
      <c r="M82" s="67">
        <v>0.44014332846557408</v>
      </c>
      <c r="N82" s="33">
        <v>1.2159999999999993</v>
      </c>
      <c r="O82" s="60"/>
      <c r="Q82" s="33">
        <v>1.1003583211639352</v>
      </c>
      <c r="S82" s="137">
        <f t="shared" si="5"/>
        <v>0.66021499269836115</v>
      </c>
      <c r="T82" s="60">
        <f>loadA!C82-loadB!S82</f>
        <v>0.52720367883606478</v>
      </c>
      <c r="U82" s="138">
        <f t="shared" si="6"/>
        <v>1.1003583211639352</v>
      </c>
    </row>
    <row r="83" spans="1:21" x14ac:dyDescent="0.3">
      <c r="A83" s="15" t="s">
        <v>127</v>
      </c>
      <c r="B83" s="67">
        <v>1.215760360531567</v>
      </c>
      <c r="C83" s="33">
        <v>0.4863041442126268</v>
      </c>
      <c r="D83" s="34">
        <v>1.1499999999999995</v>
      </c>
      <c r="E83" s="35">
        <v>1.1280000000000001</v>
      </c>
      <c r="F83" s="1">
        <f t="shared" si="7"/>
        <v>1.215760360531567</v>
      </c>
      <c r="M83" s="67">
        <v>0.4863041442126268</v>
      </c>
      <c r="N83" s="33">
        <v>1.3039999999999994</v>
      </c>
      <c r="O83" s="60"/>
      <c r="Q83" s="33">
        <v>1.215760360531567</v>
      </c>
      <c r="S83" s="137">
        <f t="shared" si="5"/>
        <v>0.7294562163189402</v>
      </c>
      <c r="T83" s="60">
        <f>loadA!C83-loadB!S83</f>
        <v>0.57551663946843301</v>
      </c>
      <c r="U83" s="138">
        <f t="shared" si="6"/>
        <v>1.215760360531567</v>
      </c>
    </row>
    <row r="84" spans="1:21" x14ac:dyDescent="0.3">
      <c r="A84" s="15" t="s">
        <v>128</v>
      </c>
      <c r="B84" s="67">
        <v>5.0740486306477459</v>
      </c>
      <c r="C84" s="33">
        <v>5.0740486306477459</v>
      </c>
      <c r="D84" s="34">
        <v>1.8840000000000003</v>
      </c>
      <c r="E84" s="35">
        <v>1.8600000000000003</v>
      </c>
      <c r="M84" s="67">
        <v>5.0740486306477459</v>
      </c>
      <c r="N84" s="33">
        <v>2.1720000000000006</v>
      </c>
      <c r="O84" s="60"/>
      <c r="Q84" s="33">
        <v>5.0740486306477459</v>
      </c>
      <c r="S84" s="137">
        <f t="shared" si="5"/>
        <v>0</v>
      </c>
      <c r="T84" s="60">
        <f>loadA!C84-loadB!S84</f>
        <v>1.2163133693522541</v>
      </c>
      <c r="U84" s="138">
        <f t="shared" si="6"/>
        <v>5.0740486306477459</v>
      </c>
    </row>
    <row r="85" spans="1:21" x14ac:dyDescent="0.3">
      <c r="A85" s="15" t="s">
        <v>129</v>
      </c>
      <c r="B85" s="67">
        <v>9.7330480755109434</v>
      </c>
      <c r="C85" s="33">
        <v>9.7330480755109434</v>
      </c>
      <c r="D85" s="34">
        <v>2.6949999999999998</v>
      </c>
      <c r="E85" s="35">
        <v>2.84</v>
      </c>
      <c r="M85" s="67">
        <v>9.7330480755109434</v>
      </c>
      <c r="N85" s="33">
        <v>3.18</v>
      </c>
      <c r="O85" s="60"/>
      <c r="Q85" s="33">
        <v>9.7330480755109434</v>
      </c>
      <c r="S85" s="137">
        <f t="shared" si="5"/>
        <v>0</v>
      </c>
      <c r="T85" s="60">
        <f>loadA!C85-loadB!S85</f>
        <v>4.5084719244890561</v>
      </c>
      <c r="U85" s="138">
        <f t="shared" si="6"/>
        <v>9.7330480755109434</v>
      </c>
    </row>
    <row r="86" spans="1:21" x14ac:dyDescent="0.3">
      <c r="A86" s="15" t="s">
        <v>130</v>
      </c>
      <c r="B86" s="67">
        <v>7.2979408020674121</v>
      </c>
      <c r="C86" s="33">
        <v>7.2979408020674121</v>
      </c>
      <c r="D86" s="34">
        <v>3.0350000000000001</v>
      </c>
      <c r="E86" s="35">
        <v>2.835</v>
      </c>
      <c r="M86" s="67">
        <v>7.2979408020674121</v>
      </c>
      <c r="N86" s="33">
        <v>3.39</v>
      </c>
      <c r="O86" s="60"/>
      <c r="Q86" s="33">
        <v>7.2979408020674121</v>
      </c>
      <c r="S86" s="137">
        <f t="shared" si="5"/>
        <v>0</v>
      </c>
      <c r="T86" s="60">
        <f>loadA!C86-loadB!S86</f>
        <v>3.380499197932588</v>
      </c>
      <c r="U86" s="138">
        <f t="shared" si="6"/>
        <v>7.2979408020674121</v>
      </c>
    </row>
    <row r="87" spans="1:21" x14ac:dyDescent="0.3">
      <c r="A87" s="15" t="s">
        <v>131</v>
      </c>
      <c r="B87" s="67">
        <v>1.052635554435484</v>
      </c>
      <c r="C87" s="33">
        <v>1.052635554435484</v>
      </c>
      <c r="D87" s="34">
        <v>4.1210000000000004</v>
      </c>
      <c r="E87" s="35">
        <v>3.9715000000000003</v>
      </c>
      <c r="M87" s="67">
        <v>1.052635554435484</v>
      </c>
      <c r="N87" s="33">
        <v>4.3745000000000003</v>
      </c>
      <c r="O87" s="60"/>
      <c r="Q87" s="33">
        <v>1.052635554435484</v>
      </c>
      <c r="S87" s="137">
        <f t="shared" si="5"/>
        <v>0</v>
      </c>
      <c r="T87" s="60">
        <f>loadA!C87-loadB!S87</f>
        <v>2.751424445564516</v>
      </c>
      <c r="U87" s="138">
        <f t="shared" si="6"/>
        <v>1.052635554435484</v>
      </c>
    </row>
    <row r="88" spans="1:21" x14ac:dyDescent="0.3">
      <c r="A88" s="15" t="s">
        <v>132</v>
      </c>
      <c r="B88" s="67">
        <v>1.2352331762488218</v>
      </c>
      <c r="C88" s="33">
        <v>1.2352331762488218</v>
      </c>
      <c r="D88" s="34">
        <v>4.3810000000000002</v>
      </c>
      <c r="E88" s="35">
        <v>5.2259999999999991</v>
      </c>
      <c r="M88" s="67">
        <v>1.2352331762488218</v>
      </c>
      <c r="N88" s="33">
        <v>5.1415000000000006</v>
      </c>
      <c r="O88" s="60"/>
      <c r="Q88" s="33">
        <v>1.2352331762488218</v>
      </c>
      <c r="S88" s="137">
        <f t="shared" si="5"/>
        <v>0</v>
      </c>
      <c r="T88" s="60">
        <f>loadA!C88-loadB!S88</f>
        <v>5.3176788237511783</v>
      </c>
      <c r="U88" s="138">
        <f t="shared" si="6"/>
        <v>1.2352331762488218</v>
      </c>
    </row>
    <row r="89" spans="1:21" x14ac:dyDescent="0.3">
      <c r="A89" s="15" t="s">
        <v>133</v>
      </c>
      <c r="B89" s="67">
        <v>7.5000420646307129</v>
      </c>
      <c r="C89" s="33">
        <v>7.5000420646307129</v>
      </c>
      <c r="D89" s="34">
        <v>4.4980000000000002</v>
      </c>
      <c r="E89" s="35">
        <v>4.4395000000000007</v>
      </c>
      <c r="M89" s="67">
        <v>7.5000420646307129</v>
      </c>
      <c r="N89" s="33">
        <v>4.8360000000000003</v>
      </c>
      <c r="O89" s="60"/>
      <c r="Q89" s="33">
        <v>7.5000420646307129</v>
      </c>
      <c r="S89" s="137">
        <f t="shared" si="5"/>
        <v>0</v>
      </c>
      <c r="T89" s="60">
        <f>loadA!C89-loadB!S89</f>
        <v>5.9754779353692866</v>
      </c>
      <c r="U89" s="138">
        <f t="shared" si="6"/>
        <v>7.5000420646307129</v>
      </c>
    </row>
    <row r="90" spans="1:21" x14ac:dyDescent="0.3">
      <c r="A90" s="15" t="s">
        <v>134</v>
      </c>
      <c r="B90" s="67">
        <v>6.0856994482122886</v>
      </c>
      <c r="C90" s="33">
        <v>6.0856994482122886</v>
      </c>
      <c r="D90" s="34">
        <v>3.2949999999999999</v>
      </c>
      <c r="E90" s="35">
        <v>3.42</v>
      </c>
      <c r="M90" s="67">
        <v>6.0856994482122886</v>
      </c>
      <c r="N90" s="33">
        <v>3.67</v>
      </c>
      <c r="O90" s="60"/>
      <c r="Q90" s="33">
        <v>6.0856994482122886</v>
      </c>
      <c r="S90" s="137">
        <f t="shared" si="5"/>
        <v>0</v>
      </c>
      <c r="T90" s="60">
        <f>loadA!C90-loadB!S90</f>
        <v>2.8189735517877121</v>
      </c>
      <c r="U90" s="138">
        <f t="shared" si="6"/>
        <v>6.0856994482122886</v>
      </c>
    </row>
    <row r="91" spans="1:21" x14ac:dyDescent="0.3">
      <c r="A91" s="15" t="s">
        <v>135</v>
      </c>
      <c r="B91" s="67">
        <v>4.3927487771387153</v>
      </c>
      <c r="C91" s="33">
        <v>4.3927487771387153</v>
      </c>
      <c r="D91" s="34">
        <v>2.7349999999999999</v>
      </c>
      <c r="E91" s="35">
        <v>2.9550000000000001</v>
      </c>
      <c r="M91" s="67">
        <v>4.3927487771387153</v>
      </c>
      <c r="N91" s="33">
        <v>2.9449999999999998</v>
      </c>
      <c r="O91" s="60"/>
      <c r="Q91" s="33">
        <v>4.3927487771387153</v>
      </c>
      <c r="S91" s="137">
        <f t="shared" si="5"/>
        <v>0</v>
      </c>
      <c r="T91" s="60">
        <f>loadA!C91-loadB!S91</f>
        <v>2.034777222861285</v>
      </c>
      <c r="U91" s="138">
        <f t="shared" si="6"/>
        <v>4.3927487771387153</v>
      </c>
    </row>
    <row r="92" spans="1:21" x14ac:dyDescent="0.3">
      <c r="A92" s="15" t="s">
        <v>136</v>
      </c>
      <c r="B92" s="67">
        <v>6.0250814587818224</v>
      </c>
      <c r="C92" s="33">
        <v>6.0250814587818224</v>
      </c>
      <c r="D92" s="34">
        <v>3.3200000000000003</v>
      </c>
      <c r="E92" s="35">
        <v>3.1360000000000001</v>
      </c>
      <c r="M92" s="67">
        <v>6.0250814587818224</v>
      </c>
      <c r="N92" s="33">
        <v>3.3880000000000008</v>
      </c>
      <c r="O92" s="60"/>
      <c r="Q92" s="33">
        <v>6.0250814587818224</v>
      </c>
      <c r="S92" s="137">
        <f t="shared" si="5"/>
        <v>0</v>
      </c>
      <c r="T92" s="60">
        <f>loadA!C92-loadB!S92</f>
        <v>3.2932555412181772</v>
      </c>
      <c r="U92" s="138">
        <f t="shared" si="6"/>
        <v>6.0250814587818224</v>
      </c>
    </row>
    <row r="93" spans="1:21" x14ac:dyDescent="0.3">
      <c r="A93" s="15" t="s">
        <v>137</v>
      </c>
      <c r="B93" s="67">
        <v>3.4163837566069359</v>
      </c>
      <c r="C93" s="33">
        <v>1.3665535026427744</v>
      </c>
      <c r="D93" s="34">
        <v>1.718</v>
      </c>
      <c r="E93" s="35">
        <v>1.6459999999999999</v>
      </c>
      <c r="F93" s="1">
        <f t="shared" ref="F93:F107" si="8">C93*2.5</f>
        <v>3.4163837566069359</v>
      </c>
      <c r="M93" s="67">
        <v>1.3665535026427744</v>
      </c>
      <c r="N93" s="33">
        <v>1.8519999999999994</v>
      </c>
      <c r="O93" s="60"/>
      <c r="Q93" s="33">
        <v>3.4163837566069359</v>
      </c>
      <c r="S93" s="137">
        <f t="shared" si="5"/>
        <v>2.0498302539641617</v>
      </c>
      <c r="T93" s="60">
        <f>loadA!C93-loadB!S93</f>
        <v>5.5137882433930647</v>
      </c>
      <c r="U93" s="138">
        <f t="shared" si="6"/>
        <v>3.4163837566069359</v>
      </c>
    </row>
    <row r="94" spans="1:21" x14ac:dyDescent="0.3">
      <c r="A94" s="15" t="s">
        <v>138</v>
      </c>
      <c r="B94" s="67">
        <v>2.277555761680591</v>
      </c>
      <c r="C94" s="33">
        <v>0.91102230467223633</v>
      </c>
      <c r="D94" s="34">
        <v>1.556</v>
      </c>
      <c r="E94" s="35">
        <v>1.8359999999999994</v>
      </c>
      <c r="F94" s="1">
        <f t="shared" si="8"/>
        <v>2.277555761680591</v>
      </c>
      <c r="M94" s="67">
        <v>0.91102230467223633</v>
      </c>
      <c r="N94" s="33">
        <v>1.6719999999999997</v>
      </c>
      <c r="O94" s="60"/>
      <c r="Q94" s="33">
        <v>2.277555761680591</v>
      </c>
      <c r="S94" s="137">
        <f t="shared" si="5"/>
        <v>1.3665334570083547</v>
      </c>
      <c r="T94" s="60">
        <f>loadA!C94-loadB!S94</f>
        <v>2.1815582383194085</v>
      </c>
      <c r="U94" s="138">
        <f t="shared" si="6"/>
        <v>2.277555761680591</v>
      </c>
    </row>
    <row r="95" spans="1:21" x14ac:dyDescent="0.3">
      <c r="A95" s="15" t="s">
        <v>139</v>
      </c>
      <c r="B95" s="67">
        <v>1.9228382643512405</v>
      </c>
      <c r="C95" s="33">
        <v>0.76913530574049616</v>
      </c>
      <c r="D95" s="34">
        <v>0.84149999999999991</v>
      </c>
      <c r="E95" s="35">
        <v>0.93299999999999983</v>
      </c>
      <c r="F95" s="1">
        <f t="shared" si="8"/>
        <v>1.9228382643512405</v>
      </c>
      <c r="M95" s="67">
        <v>0.76913530574049616</v>
      </c>
      <c r="N95" s="33">
        <v>0.95849999999999991</v>
      </c>
      <c r="O95" s="60"/>
      <c r="Q95" s="33">
        <v>1.9228382643512405</v>
      </c>
      <c r="S95" s="137">
        <f t="shared" si="5"/>
        <v>1.1537029586107443</v>
      </c>
      <c r="T95" s="60">
        <f>loadA!C95-loadB!S95</f>
        <v>7.209557735648759</v>
      </c>
      <c r="U95" s="138">
        <f t="shared" si="6"/>
        <v>1.9228382643512405</v>
      </c>
    </row>
    <row r="96" spans="1:21" x14ac:dyDescent="0.3">
      <c r="A96" s="15" t="s">
        <v>140</v>
      </c>
      <c r="B96" s="67">
        <v>1.5717922454069069</v>
      </c>
      <c r="C96" s="33">
        <v>0.62871689816276277</v>
      </c>
      <c r="D96" s="34">
        <v>0.73650000000000038</v>
      </c>
      <c r="E96" s="35">
        <v>0.91349999999999998</v>
      </c>
      <c r="F96" s="1">
        <f t="shared" si="8"/>
        <v>1.5717922454069069</v>
      </c>
      <c r="M96" s="67">
        <v>0.62871689816276277</v>
      </c>
      <c r="N96" s="33">
        <v>0.93299999999999983</v>
      </c>
      <c r="O96" s="60"/>
      <c r="Q96" s="33">
        <v>1.5717922454069069</v>
      </c>
      <c r="S96" s="137">
        <f t="shared" si="5"/>
        <v>0.9430753472441441</v>
      </c>
      <c r="T96" s="60">
        <f>loadA!C96-loadB!S96</f>
        <v>9.3115377545930933</v>
      </c>
      <c r="U96" s="138">
        <f t="shared" si="6"/>
        <v>1.5717922454069069</v>
      </c>
    </row>
    <row r="97" spans="1:21" x14ac:dyDescent="0.3">
      <c r="A97" s="15" t="s">
        <v>141</v>
      </c>
      <c r="B97" s="67">
        <v>1.678051966039563</v>
      </c>
      <c r="C97" s="33">
        <v>0.67122078641582517</v>
      </c>
      <c r="D97" s="34">
        <v>0.77099999999999991</v>
      </c>
      <c r="E97" s="35">
        <v>0.79499999999999993</v>
      </c>
      <c r="F97" s="1">
        <f t="shared" si="8"/>
        <v>1.678051966039563</v>
      </c>
      <c r="M97" s="67">
        <v>0.67122078641582517</v>
      </c>
      <c r="N97" s="33">
        <v>0.89700000000000024</v>
      </c>
      <c r="O97" s="60"/>
      <c r="Q97" s="33">
        <v>1.678051966039563</v>
      </c>
      <c r="S97" s="137">
        <f t="shared" si="5"/>
        <v>1.0068311796237377</v>
      </c>
      <c r="T97" s="60">
        <f>loadA!C97-loadB!S97</f>
        <v>3.6249590339604372</v>
      </c>
      <c r="U97" s="138">
        <f t="shared" si="6"/>
        <v>1.678051966039563</v>
      </c>
    </row>
    <row r="98" spans="1:21" x14ac:dyDescent="0.3">
      <c r="A98" s="15" t="s">
        <v>142</v>
      </c>
      <c r="B98" s="67">
        <v>1.6802013022812274</v>
      </c>
      <c r="C98" s="33">
        <v>0.67208052091249093</v>
      </c>
      <c r="D98" s="34">
        <v>0.77099999999999991</v>
      </c>
      <c r="E98" s="35">
        <v>0.83100000000000041</v>
      </c>
      <c r="F98" s="1">
        <f t="shared" si="8"/>
        <v>1.6802013022812274</v>
      </c>
      <c r="M98" s="67">
        <v>0.67208052091249093</v>
      </c>
      <c r="N98" s="33">
        <v>0.94500000000000028</v>
      </c>
      <c r="O98" s="60"/>
      <c r="Q98" s="33">
        <v>1.6802013022812274</v>
      </c>
      <c r="S98" s="137">
        <f t="shared" si="5"/>
        <v>1.0081207813687365</v>
      </c>
      <c r="T98" s="60">
        <f>loadA!C98-loadB!S98</f>
        <v>2.8303326977187719</v>
      </c>
      <c r="U98" s="138">
        <f t="shared" si="6"/>
        <v>1.6802013022812274</v>
      </c>
    </row>
    <row r="99" spans="1:21" x14ac:dyDescent="0.3">
      <c r="A99" s="15" t="s">
        <v>143</v>
      </c>
      <c r="B99" s="67">
        <v>1.1692751531230219</v>
      </c>
      <c r="C99" s="33">
        <v>0.46771006124920872</v>
      </c>
      <c r="D99" s="34">
        <v>0.66449999999999987</v>
      </c>
      <c r="E99" s="35">
        <v>0.61949999999999994</v>
      </c>
      <c r="F99" s="1">
        <f t="shared" si="8"/>
        <v>1.1692751531230219</v>
      </c>
      <c r="M99" s="67">
        <v>0.46771006124920872</v>
      </c>
      <c r="N99" s="33">
        <v>0.5625</v>
      </c>
      <c r="O99" s="60"/>
      <c r="Q99" s="33">
        <v>1.1692751531230219</v>
      </c>
      <c r="S99" s="137">
        <f t="shared" si="5"/>
        <v>0.70156509187381322</v>
      </c>
      <c r="T99" s="60">
        <f>loadA!C99-loadB!S99</f>
        <v>1.4366238468769781</v>
      </c>
      <c r="U99" s="138">
        <f t="shared" si="6"/>
        <v>1.1692751531230219</v>
      </c>
    </row>
    <row r="100" spans="1:21" x14ac:dyDescent="0.3">
      <c r="A100" s="15" t="s">
        <v>144</v>
      </c>
      <c r="B100" s="67">
        <v>1.4743067437252311</v>
      </c>
      <c r="C100" s="33">
        <v>0.58972269749009243</v>
      </c>
      <c r="D100" s="34">
        <v>0.63750000000000018</v>
      </c>
      <c r="E100" s="35">
        <v>0.61350000000000016</v>
      </c>
      <c r="F100" s="1">
        <f t="shared" si="8"/>
        <v>1.4743067437252311</v>
      </c>
      <c r="M100" s="67">
        <v>0.58972269749009243</v>
      </c>
      <c r="N100" s="33">
        <v>0.621</v>
      </c>
      <c r="O100" s="60"/>
      <c r="Q100" s="33">
        <v>1.4743067437252311</v>
      </c>
      <c r="S100" s="137">
        <f t="shared" si="5"/>
        <v>0.88458404623513864</v>
      </c>
      <c r="T100" s="60">
        <f>loadA!C100-loadB!S100</f>
        <v>0.96514725627476894</v>
      </c>
      <c r="U100" s="138">
        <f t="shared" si="6"/>
        <v>1.4743067437252311</v>
      </c>
    </row>
    <row r="101" spans="1:21" x14ac:dyDescent="0.3">
      <c r="A101" s="15" t="s">
        <v>145</v>
      </c>
      <c r="B101" s="67">
        <v>1.3540078137384408</v>
      </c>
      <c r="C101" s="33">
        <v>0.54160312549537637</v>
      </c>
      <c r="D101" s="34">
        <v>0.5714999999999999</v>
      </c>
      <c r="E101" s="35">
        <v>0.61949999999999994</v>
      </c>
      <c r="F101" s="1">
        <f t="shared" si="8"/>
        <v>1.3540078137384408</v>
      </c>
      <c r="M101" s="67">
        <v>0.54160312549537637</v>
      </c>
      <c r="N101" s="33">
        <v>0.56550000000000011</v>
      </c>
      <c r="O101" s="60"/>
      <c r="Q101" s="33">
        <v>1.3540078137384408</v>
      </c>
      <c r="S101" s="137">
        <f t="shared" si="5"/>
        <v>0.81240468824306444</v>
      </c>
      <c r="T101" s="60">
        <f>loadA!C101-loadB!S101</f>
        <v>0.88639418626155919</v>
      </c>
      <c r="U101" s="138">
        <f t="shared" si="6"/>
        <v>1.3540078137384408</v>
      </c>
    </row>
    <row r="102" spans="1:21" x14ac:dyDescent="0.3">
      <c r="A102" s="15" t="s">
        <v>146</v>
      </c>
      <c r="B102" s="67">
        <v>2.0426785844052029</v>
      </c>
      <c r="C102" s="33">
        <v>0.81707143376208125</v>
      </c>
      <c r="D102" s="34">
        <v>0.62850000000000028</v>
      </c>
      <c r="E102" s="35">
        <v>0.61350000000000016</v>
      </c>
      <c r="F102" s="1">
        <f t="shared" si="8"/>
        <v>2.0426785844052029</v>
      </c>
      <c r="M102" s="67">
        <v>0.81707143376208125</v>
      </c>
      <c r="N102" s="33">
        <v>0.58950000000000014</v>
      </c>
      <c r="O102" s="60"/>
      <c r="Q102" s="33">
        <v>2.0426785844052029</v>
      </c>
      <c r="S102" s="137">
        <f t="shared" si="5"/>
        <v>1.2256071506431216</v>
      </c>
      <c r="T102" s="60">
        <f>loadA!C102-loadB!S102</f>
        <v>1.3304374155947971</v>
      </c>
      <c r="U102" s="138">
        <f t="shared" si="6"/>
        <v>2.0426785844052029</v>
      </c>
    </row>
    <row r="103" spans="1:21" x14ac:dyDescent="0.3">
      <c r="A103" s="15" t="s">
        <v>147</v>
      </c>
      <c r="B103" s="67">
        <v>1.2660950027856501</v>
      </c>
      <c r="C103" s="33">
        <v>0.50643800111426007</v>
      </c>
      <c r="D103" s="34">
        <v>0.64049999999999985</v>
      </c>
      <c r="E103" s="35">
        <v>0.64349999999999996</v>
      </c>
      <c r="F103" s="1">
        <f t="shared" si="8"/>
        <v>1.2660950027856501</v>
      </c>
      <c r="M103" s="67">
        <v>0.50643800111426007</v>
      </c>
      <c r="N103" s="33">
        <v>0.60600000000000032</v>
      </c>
      <c r="O103" s="60"/>
      <c r="Q103" s="33">
        <v>1.2660950027856501</v>
      </c>
      <c r="S103" s="137">
        <f t="shared" si="5"/>
        <v>0.75965700167139005</v>
      </c>
      <c r="T103" s="60">
        <f>loadA!C103-loadB!S103</f>
        <v>0.82463299721434991</v>
      </c>
      <c r="U103" s="138">
        <f t="shared" si="6"/>
        <v>1.2660950027856501</v>
      </c>
    </row>
    <row r="104" spans="1:21" x14ac:dyDescent="0.3">
      <c r="A104" s="15" t="s">
        <v>148</v>
      </c>
      <c r="B104" s="67">
        <v>1.9190602014531044</v>
      </c>
      <c r="C104" s="33">
        <v>0.76762408058124165</v>
      </c>
      <c r="D104" s="34">
        <v>0.84750000000000014</v>
      </c>
      <c r="E104" s="35">
        <v>0.78600000000000048</v>
      </c>
      <c r="F104" s="1">
        <f t="shared" si="8"/>
        <v>1.9190602014531042</v>
      </c>
      <c r="M104" s="67">
        <v>0.76762408058124165</v>
      </c>
      <c r="N104" s="33">
        <v>0.75450000000000017</v>
      </c>
      <c r="O104" s="60"/>
      <c r="Q104" s="33">
        <v>1.9190602014531044</v>
      </c>
      <c r="S104" s="137">
        <f t="shared" si="5"/>
        <v>1.1514361208718626</v>
      </c>
      <c r="T104" s="60">
        <f>loadA!C104-loadB!S104</f>
        <v>1.2563027985468955</v>
      </c>
      <c r="U104" s="138">
        <f t="shared" si="6"/>
        <v>1.9190602014531044</v>
      </c>
    </row>
    <row r="105" spans="1:21" x14ac:dyDescent="0.3">
      <c r="A105" s="15" t="s">
        <v>149</v>
      </c>
      <c r="B105" s="67">
        <v>1.2746759841479522</v>
      </c>
      <c r="C105" s="33">
        <v>0.50987039365918085</v>
      </c>
      <c r="D105" s="34">
        <v>0.9975000000000005</v>
      </c>
      <c r="E105" s="35">
        <v>0.90450000000000053</v>
      </c>
      <c r="F105" s="1">
        <f t="shared" si="8"/>
        <v>1.2746759841479522</v>
      </c>
      <c r="M105" s="67">
        <v>0.50987039365918085</v>
      </c>
      <c r="N105" s="33">
        <v>0.86850000000000005</v>
      </c>
      <c r="O105" s="60"/>
      <c r="Q105" s="33">
        <v>1.2746759841479522</v>
      </c>
      <c r="S105" s="137">
        <f t="shared" si="5"/>
        <v>0.76480559048877139</v>
      </c>
      <c r="T105" s="60">
        <f>loadA!C105-loadB!S105</f>
        <v>0.83446001585204765</v>
      </c>
      <c r="U105" s="138">
        <f t="shared" si="6"/>
        <v>1.2746759841479522</v>
      </c>
    </row>
    <row r="106" spans="1:21" x14ac:dyDescent="0.3">
      <c r="A106" s="15" t="s">
        <v>150</v>
      </c>
      <c r="B106" s="67">
        <v>0.9113046946833252</v>
      </c>
      <c r="C106" s="33">
        <v>0.36452187787333007</v>
      </c>
      <c r="D106" s="34">
        <v>1.2839999999999998</v>
      </c>
      <c r="E106" s="35">
        <v>1.1520000000000001</v>
      </c>
      <c r="F106" s="1">
        <f t="shared" si="8"/>
        <v>0.9113046946833252</v>
      </c>
      <c r="M106" s="67">
        <v>0.36452187787333007</v>
      </c>
      <c r="N106" s="33">
        <v>1.0220000000000002</v>
      </c>
      <c r="O106" s="60"/>
      <c r="Q106" s="33">
        <v>0.9113046946833252</v>
      </c>
      <c r="S106" s="137">
        <f t="shared" si="5"/>
        <v>0.54678281680999508</v>
      </c>
      <c r="T106" s="60">
        <f>loadA!C106-loadB!S106</f>
        <v>0.43662430531667473</v>
      </c>
      <c r="U106" s="138">
        <f t="shared" si="6"/>
        <v>0.9113046946833252</v>
      </c>
    </row>
    <row r="107" spans="1:21" x14ac:dyDescent="0.3">
      <c r="A107" s="15" t="s">
        <v>151</v>
      </c>
      <c r="B107" s="67">
        <v>1.4242822625527698</v>
      </c>
      <c r="C107" s="33">
        <v>0.56971290502110794</v>
      </c>
      <c r="D107" s="34">
        <v>1.3779999999999992</v>
      </c>
      <c r="E107" s="35">
        <v>1.2159999999999993</v>
      </c>
      <c r="F107" s="1">
        <f t="shared" si="8"/>
        <v>1.4242822625527698</v>
      </c>
      <c r="M107" s="67">
        <v>0.56971290502110794</v>
      </c>
      <c r="N107" s="33">
        <v>1.2399999999999993</v>
      </c>
      <c r="O107" s="60"/>
      <c r="Q107" s="33">
        <v>1.4242822625527698</v>
      </c>
      <c r="S107" s="137">
        <f t="shared" si="5"/>
        <v>0.85456935753166186</v>
      </c>
      <c r="T107" s="60">
        <f>loadA!C107-loadB!S107</f>
        <v>0.67422673744723027</v>
      </c>
      <c r="U107" s="138">
        <f t="shared" si="6"/>
        <v>1.4242822625527698</v>
      </c>
    </row>
    <row r="108" spans="1:21" x14ac:dyDescent="0.3">
      <c r="A108" s="15" t="s">
        <v>152</v>
      </c>
      <c r="B108" s="67">
        <v>6.3277384012018398</v>
      </c>
      <c r="C108" s="33">
        <v>6.3277384012018398</v>
      </c>
      <c r="D108" s="34">
        <v>1.9830000000000005</v>
      </c>
      <c r="E108" s="35">
        <v>1.806</v>
      </c>
      <c r="M108" s="67">
        <v>6.3277384012018398</v>
      </c>
      <c r="N108" s="33">
        <v>1.8600000000000003</v>
      </c>
      <c r="O108" s="60"/>
      <c r="Q108" s="33">
        <v>6.3277384012018398</v>
      </c>
      <c r="S108" s="137">
        <f t="shared" si="5"/>
        <v>0</v>
      </c>
      <c r="T108" s="60">
        <f>loadA!C108-loadB!S108</f>
        <v>1.5168385987981603</v>
      </c>
      <c r="U108" s="138">
        <f t="shared" si="6"/>
        <v>6.3277384012018398</v>
      </c>
    </row>
    <row r="109" spans="1:21" x14ac:dyDescent="0.3">
      <c r="A109" s="15" t="s">
        <v>153</v>
      </c>
      <c r="B109" s="67">
        <v>5.9460594672318434</v>
      </c>
      <c r="C109" s="33">
        <v>5.9460594672318434</v>
      </c>
      <c r="D109" s="34">
        <v>2.81</v>
      </c>
      <c r="E109" s="35">
        <v>2.76</v>
      </c>
      <c r="M109" s="67">
        <v>5.9460594672318434</v>
      </c>
      <c r="N109" s="33">
        <v>2.8250000000000002</v>
      </c>
      <c r="O109" s="60"/>
      <c r="Q109" s="33">
        <v>5.9460594672318434</v>
      </c>
      <c r="S109" s="137">
        <f t="shared" si="5"/>
        <v>0</v>
      </c>
      <c r="T109" s="60">
        <f>loadA!C109-loadB!S109</f>
        <v>2.7542905327681568</v>
      </c>
      <c r="U109" s="138">
        <f t="shared" si="6"/>
        <v>5.9460594672318434</v>
      </c>
    </row>
    <row r="110" spans="1:21" x14ac:dyDescent="0.3">
      <c r="A110" s="15" t="s">
        <v>154</v>
      </c>
      <c r="B110" s="67">
        <v>5.2676092536045767</v>
      </c>
      <c r="C110" s="33">
        <v>5.2676092536045767</v>
      </c>
      <c r="D110" s="34">
        <v>2.99</v>
      </c>
      <c r="E110" s="35">
        <v>3.0449999999999999</v>
      </c>
      <c r="M110" s="67">
        <v>5.2676092536045767</v>
      </c>
      <c r="N110" s="33">
        <v>2.9049999999999998</v>
      </c>
      <c r="O110" s="60"/>
      <c r="Q110" s="33">
        <v>5.2676092536045767</v>
      </c>
      <c r="S110" s="137">
        <f t="shared" si="5"/>
        <v>0</v>
      </c>
      <c r="T110" s="60">
        <f>loadA!C110-loadB!S110</f>
        <v>2.4400237463954237</v>
      </c>
      <c r="U110" s="138">
        <f t="shared" si="6"/>
        <v>5.2676092536045767</v>
      </c>
    </row>
    <row r="111" spans="1:21" x14ac:dyDescent="0.3">
      <c r="A111" s="15" t="s">
        <v>155</v>
      </c>
      <c r="B111" s="67">
        <v>0.69977023185483878</v>
      </c>
      <c r="C111" s="33">
        <v>0.69977023185483878</v>
      </c>
      <c r="D111" s="34">
        <v>4.511000000000001</v>
      </c>
      <c r="E111" s="35">
        <v>4.16</v>
      </c>
      <c r="M111" s="67">
        <v>0.69977023185483878</v>
      </c>
      <c r="N111" s="33">
        <v>4.3224999999999998</v>
      </c>
      <c r="O111" s="60"/>
      <c r="Q111" s="33">
        <v>0.69977023185483878</v>
      </c>
      <c r="S111" s="137">
        <f t="shared" si="5"/>
        <v>0</v>
      </c>
      <c r="T111" s="60">
        <f>loadA!C111-loadB!S111</f>
        <v>1.829089768145161</v>
      </c>
      <c r="U111" s="138">
        <f t="shared" si="6"/>
        <v>0.69977023185483878</v>
      </c>
    </row>
    <row r="112" spans="1:21" x14ac:dyDescent="0.3">
      <c r="A112" s="15" t="s">
        <v>156</v>
      </c>
      <c r="B112" s="67">
        <v>1.4291340245051838</v>
      </c>
      <c r="C112" s="33">
        <v>1.4291340245051838</v>
      </c>
      <c r="D112" s="34">
        <v>5.447000000000001</v>
      </c>
      <c r="E112" s="35">
        <v>5.1610000000000005</v>
      </c>
      <c r="M112" s="67">
        <v>1.4291340245051838</v>
      </c>
      <c r="N112" s="33">
        <v>5.2195</v>
      </c>
      <c r="O112" s="60"/>
      <c r="Q112" s="33">
        <v>1.4291340245051838</v>
      </c>
      <c r="S112" s="137">
        <f t="shared" si="5"/>
        <v>0</v>
      </c>
      <c r="T112" s="60">
        <f>loadA!C112-loadB!S112</f>
        <v>6.152421975494816</v>
      </c>
      <c r="U112" s="138">
        <f t="shared" si="6"/>
        <v>1.4291340245051838</v>
      </c>
    </row>
    <row r="113" spans="1:21" x14ac:dyDescent="0.3">
      <c r="A113" s="15" t="s">
        <v>157</v>
      </c>
      <c r="B113" s="67">
        <v>4.9504868198722374</v>
      </c>
      <c r="C113" s="33">
        <v>4.9504868198722374</v>
      </c>
      <c r="D113" s="34">
        <v>4.3550000000000004</v>
      </c>
      <c r="E113" s="35">
        <v>4.7385000000000002</v>
      </c>
      <c r="M113" s="67">
        <v>4.9504868198722374</v>
      </c>
      <c r="N113" s="33">
        <v>4.8685000000000009</v>
      </c>
      <c r="O113" s="60"/>
      <c r="Q113" s="33">
        <v>4.9504868198722374</v>
      </c>
      <c r="S113" s="137">
        <f t="shared" si="5"/>
        <v>0</v>
      </c>
      <c r="T113" s="60">
        <f>loadA!C113-loadB!S113</f>
        <v>3.944181180127762</v>
      </c>
      <c r="U113" s="138">
        <f t="shared" si="6"/>
        <v>4.9504868198722374</v>
      </c>
    </row>
    <row r="114" spans="1:21" x14ac:dyDescent="0.3">
      <c r="A114" s="15" t="s">
        <v>158</v>
      </c>
      <c r="B114" s="67">
        <v>8.980929148768535</v>
      </c>
      <c r="C114" s="33">
        <v>8.980929148768535</v>
      </c>
      <c r="D114" s="34">
        <v>3.56</v>
      </c>
      <c r="E114" s="35">
        <v>3.645</v>
      </c>
      <c r="M114" s="67">
        <v>8.980929148768535</v>
      </c>
      <c r="N114" s="33">
        <v>3.13</v>
      </c>
      <c r="O114" s="60"/>
      <c r="Q114" s="33">
        <v>8.980929148768535</v>
      </c>
      <c r="S114" s="137">
        <f t="shared" si="5"/>
        <v>0</v>
      </c>
      <c r="T114" s="60">
        <f>loadA!C114-loadB!S114</f>
        <v>4.1600808512314646</v>
      </c>
      <c r="U114" s="138">
        <f t="shared" si="6"/>
        <v>8.980929148768535</v>
      </c>
    </row>
    <row r="115" spans="1:21" x14ac:dyDescent="0.3">
      <c r="A115" s="15" t="s">
        <v>159</v>
      </c>
      <c r="B115" s="67">
        <v>4.2968912195836815</v>
      </c>
      <c r="C115" s="33">
        <v>4.2968912195836815</v>
      </c>
      <c r="D115" s="34">
        <v>2.9550000000000001</v>
      </c>
      <c r="E115" s="35">
        <v>2.4550000000000001</v>
      </c>
      <c r="M115" s="67">
        <v>4.2968912195836815</v>
      </c>
      <c r="N115" s="33">
        <v>2.6949999999999998</v>
      </c>
      <c r="O115" s="60"/>
      <c r="Q115" s="33">
        <v>4.2968912195836815</v>
      </c>
      <c r="S115" s="137">
        <f t="shared" si="5"/>
        <v>0</v>
      </c>
      <c r="T115" s="60">
        <f>loadA!C115-loadB!S115</f>
        <v>1.9903747804163183</v>
      </c>
      <c r="U115" s="138">
        <f t="shared" si="6"/>
        <v>4.2968912195836815</v>
      </c>
    </row>
    <row r="116" spans="1:21" x14ac:dyDescent="0.3">
      <c r="A116" s="15" t="s">
        <v>160</v>
      </c>
      <c r="B116" s="67">
        <v>6.1955622084851498</v>
      </c>
      <c r="C116" s="33">
        <v>6.1955622084851498</v>
      </c>
      <c r="D116" s="34">
        <v>3.3319999999999999</v>
      </c>
      <c r="E116" s="35">
        <v>3.1120000000000001</v>
      </c>
      <c r="M116" s="67">
        <v>6.1955622084851498</v>
      </c>
      <c r="N116" s="33">
        <v>3.5920000000000005</v>
      </c>
      <c r="O116" s="60"/>
      <c r="Q116" s="33">
        <v>6.1955622084851498</v>
      </c>
      <c r="S116" s="137">
        <f t="shared" si="5"/>
        <v>0</v>
      </c>
      <c r="T116" s="60">
        <f>loadA!C116-loadB!S116</f>
        <v>3.3864387915148502</v>
      </c>
      <c r="U116" s="138">
        <f t="shared" si="6"/>
        <v>6.1955622084851498</v>
      </c>
    </row>
    <row r="117" spans="1:21" x14ac:dyDescent="0.3">
      <c r="A117" s="15" t="s">
        <v>161</v>
      </c>
      <c r="B117" s="67">
        <v>2.295332600719838</v>
      </c>
      <c r="C117" s="33">
        <v>0.91813304028793519</v>
      </c>
      <c r="D117" s="34">
        <v>1.7379999999999995</v>
      </c>
      <c r="E117" s="35">
        <v>1.6280000000000001</v>
      </c>
      <c r="F117" s="1">
        <f t="shared" ref="F117:F131" si="9">C117*2.5</f>
        <v>2.295332600719838</v>
      </c>
      <c r="M117" s="67">
        <v>0.91813304028793519</v>
      </c>
      <c r="N117" s="33">
        <v>1.7579999999999991</v>
      </c>
      <c r="O117" s="60"/>
      <c r="Q117" s="33">
        <v>2.295332600719838</v>
      </c>
      <c r="S117" s="137">
        <f t="shared" si="5"/>
        <v>1.3771995604319027</v>
      </c>
      <c r="T117" s="60">
        <f>loadA!C117-loadB!S117</f>
        <v>3.7044953992801624</v>
      </c>
      <c r="U117" s="138">
        <f t="shared" si="6"/>
        <v>2.295332600719838</v>
      </c>
    </row>
    <row r="118" spans="1:21" x14ac:dyDescent="0.3">
      <c r="A118" s="15" t="s">
        <v>162</v>
      </c>
      <c r="B118" s="67">
        <v>1.9752436298680758</v>
      </c>
      <c r="C118" s="33">
        <v>0.79009745194723036</v>
      </c>
      <c r="D118" s="34">
        <v>1.7699999999999996</v>
      </c>
      <c r="E118" s="35">
        <v>1.6719999999999997</v>
      </c>
      <c r="F118" s="1">
        <f t="shared" si="9"/>
        <v>1.9752436298680758</v>
      </c>
      <c r="M118" s="67">
        <v>0.79009745194723036</v>
      </c>
      <c r="N118" s="33">
        <v>1.8259999999999996</v>
      </c>
      <c r="O118" s="60"/>
      <c r="Q118" s="33">
        <v>1.9752436298680758</v>
      </c>
      <c r="S118" s="137">
        <f t="shared" si="5"/>
        <v>1.1851461779208454</v>
      </c>
      <c r="T118" s="60">
        <f>loadA!C118-loadB!S118</f>
        <v>1.891988370131924</v>
      </c>
      <c r="U118" s="138">
        <f t="shared" si="6"/>
        <v>1.9752436298680758</v>
      </c>
    </row>
    <row r="119" spans="1:21" x14ac:dyDescent="0.3">
      <c r="A119" s="15" t="s">
        <v>163</v>
      </c>
      <c r="B119" s="67">
        <v>1.9256777597950476</v>
      </c>
      <c r="C119" s="33">
        <v>0.77027110391801901</v>
      </c>
      <c r="D119" s="34">
        <v>0.8805000000000005</v>
      </c>
      <c r="E119" s="35">
        <v>0.85050000000000026</v>
      </c>
      <c r="F119" s="1">
        <f t="shared" si="9"/>
        <v>1.9256777597950476</v>
      </c>
      <c r="M119" s="67">
        <v>0.77027110391801901</v>
      </c>
      <c r="N119" s="33">
        <v>0.85650000000000048</v>
      </c>
      <c r="O119" s="60"/>
      <c r="Q119" s="33">
        <v>1.9256777597950476</v>
      </c>
      <c r="S119" s="137">
        <f t="shared" si="5"/>
        <v>1.1554066558770286</v>
      </c>
      <c r="T119" s="60">
        <f>loadA!C119-loadB!S119</f>
        <v>7.2202042402049535</v>
      </c>
      <c r="U119" s="138">
        <f t="shared" si="6"/>
        <v>1.9256777597950476</v>
      </c>
    </row>
    <row r="120" spans="1:21" x14ac:dyDescent="0.3">
      <c r="A120" s="15" t="s">
        <v>164</v>
      </c>
      <c r="B120" s="67">
        <v>0.92856830213397301</v>
      </c>
      <c r="C120" s="33">
        <v>0.3714273208535892</v>
      </c>
      <c r="D120" s="34">
        <v>0.83250000000000046</v>
      </c>
      <c r="E120" s="35">
        <v>0.78750000000000053</v>
      </c>
      <c r="F120" s="1">
        <f t="shared" si="9"/>
        <v>0.92856830213397301</v>
      </c>
      <c r="M120" s="67">
        <v>0.3714273208535892</v>
      </c>
      <c r="N120" s="33">
        <v>0.76499999999999968</v>
      </c>
      <c r="O120" s="60"/>
      <c r="Q120" s="33">
        <v>0.92856830213397301</v>
      </c>
      <c r="S120" s="137">
        <f t="shared" si="5"/>
        <v>0.55714098128038381</v>
      </c>
      <c r="T120" s="60">
        <f>loadA!C120-loadB!S120</f>
        <v>5.5009806978660265</v>
      </c>
      <c r="U120" s="138">
        <f t="shared" si="6"/>
        <v>0.92856830213397301</v>
      </c>
    </row>
    <row r="121" spans="1:21" x14ac:dyDescent="0.3">
      <c r="A121" s="15" t="s">
        <v>165</v>
      </c>
      <c r="B121" s="67">
        <v>1.4267946621247751</v>
      </c>
      <c r="C121" s="33">
        <v>0.57071786484991005</v>
      </c>
      <c r="D121" s="34">
        <v>0.89250000000000007</v>
      </c>
      <c r="E121" s="35">
        <v>0.85050000000000026</v>
      </c>
      <c r="F121" s="1">
        <f t="shared" si="9"/>
        <v>1.4267946621247751</v>
      </c>
      <c r="M121" s="67">
        <v>0.57071786484991005</v>
      </c>
      <c r="N121" s="33">
        <v>0.79199999999999982</v>
      </c>
      <c r="O121" s="60"/>
      <c r="Q121" s="33">
        <v>1.4267946621247751</v>
      </c>
      <c r="S121" s="137">
        <f t="shared" si="5"/>
        <v>0.85607679727486508</v>
      </c>
      <c r="T121" s="60">
        <f>loadA!C121-loadB!S121</f>
        <v>3.0821883378752246</v>
      </c>
      <c r="U121" s="138">
        <f t="shared" si="6"/>
        <v>1.4267946621247751</v>
      </c>
    </row>
    <row r="122" spans="1:21" x14ac:dyDescent="0.3">
      <c r="A122" s="15" t="s">
        <v>166</v>
      </c>
      <c r="B122" s="67">
        <v>1.5304639190618807</v>
      </c>
      <c r="C122" s="33">
        <v>0.61218556762475229</v>
      </c>
      <c r="D122" s="34">
        <v>0.84149999999999991</v>
      </c>
      <c r="E122" s="35">
        <v>0.80100000000000016</v>
      </c>
      <c r="F122" s="1">
        <f t="shared" si="9"/>
        <v>1.5304639190618807</v>
      </c>
      <c r="M122" s="67">
        <v>0.61218556762475229</v>
      </c>
      <c r="N122" s="33">
        <v>0.8595000000000006</v>
      </c>
      <c r="O122" s="60"/>
      <c r="Q122" s="33">
        <v>1.5304639190618807</v>
      </c>
      <c r="S122" s="137">
        <f t="shared" si="5"/>
        <v>0.91827835143712844</v>
      </c>
      <c r="T122" s="60">
        <f>loadA!C122-loadB!S122</f>
        <v>2.578097080938119</v>
      </c>
      <c r="U122" s="138">
        <f t="shared" si="6"/>
        <v>1.5304639190618807</v>
      </c>
    </row>
    <row r="123" spans="1:21" x14ac:dyDescent="0.3">
      <c r="A123" s="15" t="s">
        <v>167</v>
      </c>
      <c r="B123" s="67">
        <v>1.737254848691403</v>
      </c>
      <c r="C123" s="33">
        <v>0.6949019394765612</v>
      </c>
      <c r="D123" s="34">
        <v>0.63600000000000012</v>
      </c>
      <c r="E123" s="35">
        <v>0.67949999999999999</v>
      </c>
      <c r="F123" s="1">
        <f t="shared" si="9"/>
        <v>1.737254848691403</v>
      </c>
      <c r="M123" s="67">
        <v>0.6949019394765612</v>
      </c>
      <c r="N123" s="33">
        <v>0.63900000000000023</v>
      </c>
      <c r="O123" s="60"/>
      <c r="Q123" s="33">
        <v>1.737254848691403</v>
      </c>
      <c r="S123" s="137">
        <f t="shared" si="5"/>
        <v>1.0423529092148418</v>
      </c>
      <c r="T123" s="60">
        <f>loadA!C123-loadB!S123</f>
        <v>2.1344691513085969</v>
      </c>
      <c r="U123" s="138">
        <f t="shared" si="6"/>
        <v>1.737254848691403</v>
      </c>
    </row>
    <row r="124" spans="1:21" x14ac:dyDescent="0.3">
      <c r="A124" s="15" t="s">
        <v>168</v>
      </c>
      <c r="B124" s="67">
        <v>1.4571042602377804</v>
      </c>
      <c r="C124" s="33">
        <v>0.58284170409511216</v>
      </c>
      <c r="D124" s="34">
        <v>0.621</v>
      </c>
      <c r="E124" s="35">
        <v>0.69450000000000012</v>
      </c>
      <c r="F124" s="1">
        <f t="shared" si="9"/>
        <v>1.4571042602377804</v>
      </c>
      <c r="M124" s="67">
        <v>0.58284170409511216</v>
      </c>
      <c r="N124" s="33">
        <v>0.66600000000000037</v>
      </c>
      <c r="O124" s="60"/>
      <c r="Q124" s="33">
        <v>1.4571042602377804</v>
      </c>
      <c r="S124" s="137">
        <f t="shared" si="5"/>
        <v>0.87426255614266823</v>
      </c>
      <c r="T124" s="60">
        <f>loadA!C124-loadB!S124</f>
        <v>0.95388573976221958</v>
      </c>
      <c r="U124" s="138">
        <f t="shared" si="6"/>
        <v>1.4571042602377804</v>
      </c>
    </row>
    <row r="125" spans="1:21" x14ac:dyDescent="0.3">
      <c r="A125" s="15" t="s">
        <v>169</v>
      </c>
      <c r="B125" s="67">
        <v>1.5984119286657859</v>
      </c>
      <c r="C125" s="33">
        <v>0.63936477146631432</v>
      </c>
      <c r="D125" s="34">
        <v>0.65400000000000036</v>
      </c>
      <c r="E125" s="35">
        <v>0.67799999999999994</v>
      </c>
      <c r="F125" s="1">
        <f t="shared" si="9"/>
        <v>1.5984119286657859</v>
      </c>
      <c r="M125" s="67">
        <v>0.63936477146631432</v>
      </c>
      <c r="N125" s="33">
        <v>0.65100000000000025</v>
      </c>
      <c r="O125" s="60"/>
      <c r="Q125" s="33">
        <v>1.5984119286657859</v>
      </c>
      <c r="S125" s="137">
        <f t="shared" si="5"/>
        <v>0.95904715719947153</v>
      </c>
      <c r="T125" s="60">
        <f>loadA!C125-loadB!S125</f>
        <v>1.0463920713342141</v>
      </c>
      <c r="U125" s="138">
        <f t="shared" si="6"/>
        <v>1.5984119286657859</v>
      </c>
    </row>
    <row r="126" spans="1:21" x14ac:dyDescent="0.3">
      <c r="A126" s="15" t="s">
        <v>170</v>
      </c>
      <c r="B126" s="67">
        <v>1.1913124046217571</v>
      </c>
      <c r="C126" s="33">
        <v>0.47652496184870285</v>
      </c>
      <c r="D126" s="34">
        <v>0.64500000000000002</v>
      </c>
      <c r="E126" s="35">
        <v>0.64950000000000019</v>
      </c>
      <c r="F126" s="1">
        <f t="shared" si="9"/>
        <v>1.1913124046217571</v>
      </c>
      <c r="M126" s="67">
        <v>0.47652496184870285</v>
      </c>
      <c r="N126" s="33">
        <v>0.72149999999999981</v>
      </c>
      <c r="O126" s="60"/>
      <c r="Q126" s="33">
        <v>1.1913124046217571</v>
      </c>
      <c r="S126" s="137">
        <f t="shared" si="5"/>
        <v>0.71478744277305428</v>
      </c>
      <c r="T126" s="60">
        <f>loadA!C126-loadB!S126</f>
        <v>0.7759255953782429</v>
      </c>
      <c r="U126" s="138">
        <f t="shared" si="6"/>
        <v>1.1913124046217571</v>
      </c>
    </row>
    <row r="127" spans="1:21" x14ac:dyDescent="0.3">
      <c r="A127" s="15" t="s">
        <v>171</v>
      </c>
      <c r="B127" s="67">
        <v>2.0976885158539833</v>
      </c>
      <c r="C127" s="33">
        <v>0.83907540634159339</v>
      </c>
      <c r="D127" s="34">
        <v>0.67949999999999999</v>
      </c>
      <c r="E127" s="35">
        <v>0.68849999999999989</v>
      </c>
      <c r="F127" s="1">
        <f t="shared" si="9"/>
        <v>2.0976885158539833</v>
      </c>
      <c r="M127" s="67">
        <v>0.83907540634159339</v>
      </c>
      <c r="N127" s="33">
        <v>0.67350000000000021</v>
      </c>
      <c r="O127" s="60"/>
      <c r="Q127" s="33">
        <v>2.0976885158539833</v>
      </c>
      <c r="S127" s="137">
        <f t="shared" si="5"/>
        <v>1.2586131095123898</v>
      </c>
      <c r="T127" s="60">
        <f>loadA!C127-loadB!S127</f>
        <v>1.3662664841460166</v>
      </c>
      <c r="U127" s="138">
        <f t="shared" si="6"/>
        <v>2.0976885158539833</v>
      </c>
    </row>
    <row r="128" spans="1:21" x14ac:dyDescent="0.3">
      <c r="A128" s="15" t="s">
        <v>172</v>
      </c>
      <c r="B128" s="67">
        <v>1.817426304491413</v>
      </c>
      <c r="C128" s="33">
        <v>0.72697052179656518</v>
      </c>
      <c r="D128" s="34">
        <v>0.85050000000000026</v>
      </c>
      <c r="E128" s="35">
        <v>0.82950000000000035</v>
      </c>
      <c r="F128" s="1">
        <f t="shared" si="9"/>
        <v>1.817426304491413</v>
      </c>
      <c r="M128" s="67">
        <v>0.72697052179656518</v>
      </c>
      <c r="N128" s="33">
        <v>0.77550000000000008</v>
      </c>
      <c r="O128" s="60"/>
      <c r="Q128" s="33">
        <v>1.817426304491413</v>
      </c>
      <c r="S128" s="137">
        <f t="shared" si="5"/>
        <v>1.0904557826948478</v>
      </c>
      <c r="T128" s="60">
        <f>loadA!C128-loadB!S128</f>
        <v>1.1897686955085869</v>
      </c>
      <c r="U128" s="138">
        <f t="shared" si="6"/>
        <v>1.817426304491413</v>
      </c>
    </row>
    <row r="129" spans="1:21" x14ac:dyDescent="0.3">
      <c r="A129" s="15" t="s">
        <v>173</v>
      </c>
      <c r="B129" s="67">
        <v>1.7266708751651252</v>
      </c>
      <c r="C129" s="33">
        <v>0.6906683500660501</v>
      </c>
      <c r="D129" s="34">
        <v>0.87750000000000039</v>
      </c>
      <c r="E129" s="35">
        <v>0.9480000000000004</v>
      </c>
      <c r="F129" s="1">
        <f t="shared" si="9"/>
        <v>1.7266708751651252</v>
      </c>
      <c r="M129" s="67">
        <v>0.6906683500660501</v>
      </c>
      <c r="N129" s="33">
        <v>0.87150000000000016</v>
      </c>
      <c r="O129" s="60"/>
      <c r="Q129" s="33">
        <v>1.7266708751651252</v>
      </c>
      <c r="S129" s="137">
        <f t="shared" si="5"/>
        <v>1.0360025250990752</v>
      </c>
      <c r="T129" s="60">
        <f>loadA!C129-loadB!S129</f>
        <v>1.1303561248348748</v>
      </c>
      <c r="U129" s="138">
        <f t="shared" si="6"/>
        <v>1.7266708751651252</v>
      </c>
    </row>
    <row r="130" spans="1:21" x14ac:dyDescent="0.3">
      <c r="A130" s="15" t="s">
        <v>174</v>
      </c>
      <c r="B130" s="67">
        <v>1.2107293525880252</v>
      </c>
      <c r="C130" s="33">
        <v>0.48429174103521011</v>
      </c>
      <c r="D130" s="34">
        <v>1.21</v>
      </c>
      <c r="E130" s="35">
        <v>1.2839999999999998</v>
      </c>
      <c r="F130" s="1">
        <f t="shared" si="9"/>
        <v>1.2107293525880252</v>
      </c>
      <c r="M130" s="67">
        <v>0.48429174103521011</v>
      </c>
      <c r="N130" s="33">
        <v>1.1120000000000001</v>
      </c>
      <c r="O130" s="60"/>
      <c r="Q130" s="33">
        <v>1.2107293525880252</v>
      </c>
      <c r="S130" s="137">
        <f t="shared" si="5"/>
        <v>0.72643761155281505</v>
      </c>
      <c r="T130" s="60">
        <f>loadA!C130-loadB!S130</f>
        <v>0.58008464741197474</v>
      </c>
      <c r="U130" s="138">
        <f t="shared" si="6"/>
        <v>1.2107293525880252</v>
      </c>
    </row>
    <row r="131" spans="1:21" x14ac:dyDescent="0.3">
      <c r="A131" s="15" t="s">
        <v>175</v>
      </c>
      <c r="B131" s="67">
        <v>1.0284285113141214</v>
      </c>
      <c r="C131" s="33">
        <v>0.41137140452564852</v>
      </c>
      <c r="D131" s="34">
        <v>1.2459999999999996</v>
      </c>
      <c r="E131" s="35">
        <v>1.3479999999999999</v>
      </c>
      <c r="F131" s="1">
        <f t="shared" si="9"/>
        <v>1.0284285113141214</v>
      </c>
      <c r="M131" s="67">
        <v>0.41137140452564852</v>
      </c>
      <c r="N131" s="33">
        <v>1.2799999999999994</v>
      </c>
      <c r="O131" s="60"/>
      <c r="Q131" s="33">
        <v>1.0284285113141214</v>
      </c>
      <c r="S131" s="137">
        <f t="shared" si="5"/>
        <v>0.61705710678847292</v>
      </c>
      <c r="T131" s="60">
        <f>loadA!C131-loadB!S131</f>
        <v>0.48683748868587862</v>
      </c>
      <c r="U131" s="138">
        <f t="shared" si="6"/>
        <v>1.0284285113141214</v>
      </c>
    </row>
    <row r="132" spans="1:21" x14ac:dyDescent="0.3">
      <c r="A132" s="15" t="s">
        <v>176</v>
      </c>
      <c r="B132" s="67">
        <v>4.9521300500905978</v>
      </c>
      <c r="C132" s="33">
        <v>4.9521300500905978</v>
      </c>
      <c r="D132" s="34">
        <v>2.3130000000000006</v>
      </c>
      <c r="E132" s="35">
        <v>2.0430000000000001</v>
      </c>
      <c r="M132" s="67">
        <v>4.9521300500905978</v>
      </c>
      <c r="N132" s="33">
        <v>2.0040000000000004</v>
      </c>
      <c r="O132" s="60"/>
      <c r="Q132" s="33">
        <v>4.9521300500905978</v>
      </c>
      <c r="S132" s="137">
        <f t="shared" ref="S132:S170" si="10">IF(F132&gt;0,F132-C132,0)</f>
        <v>0</v>
      </c>
      <c r="T132" s="60">
        <f>loadA!C132-loadB!S132</f>
        <v>1.1870879499094018</v>
      </c>
      <c r="U132" s="138">
        <f t="shared" ref="U132:U170" si="11">C132+S132</f>
        <v>4.9521300500905978</v>
      </c>
    </row>
    <row r="133" spans="1:21" x14ac:dyDescent="0.3">
      <c r="A133" s="15" t="s">
        <v>177</v>
      </c>
      <c r="B133" s="67">
        <v>6.5103294288933364</v>
      </c>
      <c r="C133" s="33">
        <v>6.5103294288933364</v>
      </c>
      <c r="D133" s="34">
        <v>2.95</v>
      </c>
      <c r="E133" s="35">
        <v>2.9649999999999999</v>
      </c>
      <c r="M133" s="67">
        <v>6.5103294288933364</v>
      </c>
      <c r="N133" s="33">
        <v>3</v>
      </c>
      <c r="O133" s="60"/>
      <c r="Q133" s="33">
        <v>6.5103294288933364</v>
      </c>
      <c r="S133" s="137">
        <f t="shared" si="10"/>
        <v>0</v>
      </c>
      <c r="T133" s="60">
        <f>loadA!C133-loadB!S133</f>
        <v>3.0156675711066638</v>
      </c>
      <c r="U133" s="138">
        <f t="shared" si="11"/>
        <v>6.5103294288933364</v>
      </c>
    </row>
    <row r="134" spans="1:21" x14ac:dyDescent="0.3">
      <c r="A134" s="15" t="s">
        <v>178</v>
      </c>
      <c r="B134" s="67">
        <v>4.8683665586108003</v>
      </c>
      <c r="C134" s="33">
        <v>4.8683665586108003</v>
      </c>
      <c r="D134" s="34">
        <v>3.1549999999999998</v>
      </c>
      <c r="E134" s="35">
        <v>2.8450000000000002</v>
      </c>
      <c r="M134" s="67">
        <v>4.8683665586108003</v>
      </c>
      <c r="N134" s="33">
        <v>3</v>
      </c>
      <c r="O134" s="60"/>
      <c r="Q134" s="33">
        <v>4.8683665586108003</v>
      </c>
      <c r="S134" s="137">
        <f t="shared" si="10"/>
        <v>0</v>
      </c>
      <c r="T134" s="60">
        <f>loadA!C134-loadB!S134</f>
        <v>2.2550894413891998</v>
      </c>
      <c r="U134" s="138">
        <f t="shared" si="11"/>
        <v>4.8683665586108003</v>
      </c>
    </row>
    <row r="135" spans="1:21" x14ac:dyDescent="0.3">
      <c r="A135" s="15" t="s">
        <v>179</v>
      </c>
      <c r="B135" s="67">
        <v>0.76550412701612902</v>
      </c>
      <c r="C135" s="33">
        <v>0.76550412701612902</v>
      </c>
      <c r="D135" s="34">
        <v>4.1665000000000001</v>
      </c>
      <c r="E135" s="35">
        <v>4.7709999999999999</v>
      </c>
      <c r="M135" s="67">
        <v>0.76550412701612902</v>
      </c>
      <c r="N135" s="33">
        <v>3.9715000000000003</v>
      </c>
      <c r="O135" s="60"/>
      <c r="Q135" s="33">
        <v>0.76550412701612902</v>
      </c>
      <c r="S135" s="137">
        <f t="shared" si="10"/>
        <v>0</v>
      </c>
      <c r="T135" s="60">
        <f>loadA!C135-loadB!S135</f>
        <v>2.0009078729838707</v>
      </c>
      <c r="U135" s="138">
        <f t="shared" si="11"/>
        <v>0.76550412701612902</v>
      </c>
    </row>
    <row r="136" spans="1:21" x14ac:dyDescent="0.3">
      <c r="A136" s="15" t="s">
        <v>180</v>
      </c>
      <c r="B136" s="67">
        <v>1.2540550424128181</v>
      </c>
      <c r="C136" s="33">
        <v>1.2540550424128181</v>
      </c>
      <c r="D136" s="34">
        <v>5.1739999999999995</v>
      </c>
      <c r="E136" s="35">
        <v>5.7460000000000004</v>
      </c>
      <c r="M136" s="67">
        <v>1.2540550424128181</v>
      </c>
      <c r="N136" s="33">
        <v>5.5705000000000009</v>
      </c>
      <c r="O136" s="60"/>
      <c r="Q136" s="33">
        <v>1.2540550424128181</v>
      </c>
      <c r="S136" s="137">
        <f t="shared" si="10"/>
        <v>0</v>
      </c>
      <c r="T136" s="60">
        <f>loadA!C136-loadB!S136</f>
        <v>5.3987069575871818</v>
      </c>
      <c r="U136" s="138">
        <f t="shared" si="11"/>
        <v>1.2540550424128181</v>
      </c>
    </row>
    <row r="137" spans="1:21" x14ac:dyDescent="0.3">
      <c r="A137" s="15" t="s">
        <v>181</v>
      </c>
      <c r="B137" s="67">
        <v>5.5439919206989217</v>
      </c>
      <c r="C137" s="33">
        <v>5.5439919206989217</v>
      </c>
      <c r="D137" s="34">
        <v>4.5629999999999997</v>
      </c>
      <c r="E137" s="35">
        <v>5.0245000000000006</v>
      </c>
      <c r="M137" s="67">
        <v>5.5439919206989217</v>
      </c>
      <c r="N137" s="33">
        <v>4.8425000000000002</v>
      </c>
      <c r="O137" s="60"/>
      <c r="Q137" s="33">
        <v>5.5439919206989217</v>
      </c>
      <c r="S137" s="137">
        <f t="shared" si="10"/>
        <v>0</v>
      </c>
      <c r="T137" s="60">
        <f>loadA!C137-loadB!S137</f>
        <v>4.4170420793010781</v>
      </c>
      <c r="U137" s="138">
        <f t="shared" si="11"/>
        <v>5.5439919206989217</v>
      </c>
    </row>
    <row r="138" spans="1:21" x14ac:dyDescent="0.3">
      <c r="A138" s="15" t="s">
        <v>182</v>
      </c>
      <c r="B138" s="67">
        <v>7.9317447397614282</v>
      </c>
      <c r="C138" s="33">
        <v>7.9317447397614282</v>
      </c>
      <c r="D138" s="34">
        <v>3.6749999999999998</v>
      </c>
      <c r="E138" s="35">
        <v>3.7650000000000001</v>
      </c>
      <c r="M138" s="67">
        <v>7.9317447397614282</v>
      </c>
      <c r="N138" s="33">
        <v>3.54</v>
      </c>
      <c r="O138" s="60"/>
      <c r="Q138" s="33">
        <v>7.9317447397614282</v>
      </c>
      <c r="S138" s="137">
        <f t="shared" si="10"/>
        <v>0</v>
      </c>
      <c r="T138" s="60">
        <f>loadA!C138-loadB!S138</f>
        <v>3.674085260238571</v>
      </c>
      <c r="U138" s="138">
        <f t="shared" si="11"/>
        <v>7.9317447397614282</v>
      </c>
    </row>
    <row r="139" spans="1:21" x14ac:dyDescent="0.3">
      <c r="A139" s="15" t="s">
        <v>183</v>
      </c>
      <c r="B139" s="67">
        <v>6.031759240115977</v>
      </c>
      <c r="C139" s="33">
        <v>6.031759240115977</v>
      </c>
      <c r="D139" s="34">
        <v>2.8650000000000002</v>
      </c>
      <c r="E139" s="35">
        <v>2.75</v>
      </c>
      <c r="M139" s="67">
        <v>6.031759240115977</v>
      </c>
      <c r="N139" s="33">
        <v>2.9049999999999998</v>
      </c>
      <c r="O139" s="60"/>
      <c r="Q139" s="33">
        <v>6.031759240115977</v>
      </c>
      <c r="S139" s="137">
        <f t="shared" si="10"/>
        <v>0</v>
      </c>
      <c r="T139" s="60">
        <f>loadA!C139-loadB!S139</f>
        <v>2.7939877598840228</v>
      </c>
      <c r="U139" s="138">
        <f t="shared" si="11"/>
        <v>6.031759240115977</v>
      </c>
    </row>
    <row r="140" spans="1:21" x14ac:dyDescent="0.3">
      <c r="A140" s="15" t="s">
        <v>184</v>
      </c>
      <c r="B140" s="67">
        <v>6.7069507911779267</v>
      </c>
      <c r="C140" s="33">
        <v>6.7069507911779267</v>
      </c>
      <c r="D140" s="34">
        <v>3.4799999999999995</v>
      </c>
      <c r="E140" s="35">
        <v>3.46</v>
      </c>
      <c r="M140" s="67">
        <v>6.7069507911779267</v>
      </c>
      <c r="N140" s="33">
        <v>3.2800000000000002</v>
      </c>
      <c r="O140" s="60"/>
      <c r="Q140" s="33">
        <v>6.7069507911779267</v>
      </c>
      <c r="S140" s="137">
        <f t="shared" si="10"/>
        <v>0</v>
      </c>
      <c r="T140" s="60">
        <f>loadA!C140-loadB!S140</f>
        <v>3.6659592088220725</v>
      </c>
      <c r="U140" s="138">
        <f t="shared" si="11"/>
        <v>6.7069507911779267</v>
      </c>
    </row>
    <row r="141" spans="1:21" x14ac:dyDescent="0.3">
      <c r="A141" s="15" t="s">
        <v>185</v>
      </c>
      <c r="B141" s="67">
        <v>1.9117007529380614</v>
      </c>
      <c r="C141" s="33">
        <v>0.76468030117522445</v>
      </c>
      <c r="D141" s="34">
        <v>1.7639999999999993</v>
      </c>
      <c r="E141" s="35">
        <v>1.7459999999999996</v>
      </c>
      <c r="F141" s="1">
        <f t="shared" ref="F141:F155" si="12">C141*2.5</f>
        <v>1.9117007529380612</v>
      </c>
      <c r="M141" s="67">
        <v>0.76468030117522445</v>
      </c>
      <c r="N141" s="33">
        <v>1.6839999999999993</v>
      </c>
      <c r="O141" s="60"/>
      <c r="Q141" s="33">
        <v>1.9117007529380614</v>
      </c>
      <c r="S141" s="137">
        <f t="shared" si="10"/>
        <v>1.1470204517628368</v>
      </c>
      <c r="T141" s="60">
        <f>loadA!C141-loadB!S141</f>
        <v>3.0853422470619383</v>
      </c>
      <c r="U141" s="138">
        <f t="shared" si="11"/>
        <v>1.9117007529380614</v>
      </c>
    </row>
    <row r="142" spans="1:21" x14ac:dyDescent="0.3">
      <c r="A142" s="15" t="s">
        <v>186</v>
      </c>
      <c r="B142" s="67">
        <v>2.1125998688201255</v>
      </c>
      <c r="C142" s="33">
        <v>0.84503994752805012</v>
      </c>
      <c r="D142" s="34">
        <v>1.6459999999999999</v>
      </c>
      <c r="E142" s="35">
        <v>1.8059999999999992</v>
      </c>
      <c r="F142" s="1">
        <f t="shared" si="12"/>
        <v>2.1125998688201255</v>
      </c>
      <c r="M142" s="67">
        <v>0.84503994752805012</v>
      </c>
      <c r="N142" s="33">
        <v>1.7279999999999998</v>
      </c>
      <c r="O142" s="60"/>
      <c r="Q142" s="33">
        <v>2.1125998688201255</v>
      </c>
      <c r="S142" s="137">
        <f t="shared" si="10"/>
        <v>1.2675599212920754</v>
      </c>
      <c r="T142" s="60">
        <f>loadA!C142-loadB!S142</f>
        <v>2.0235551311798741</v>
      </c>
      <c r="U142" s="138">
        <f t="shared" si="11"/>
        <v>2.1125998688201255</v>
      </c>
    </row>
    <row r="143" spans="1:21" x14ac:dyDescent="0.3">
      <c r="A143" s="15" t="s">
        <v>187</v>
      </c>
      <c r="B143" s="67">
        <v>1.7734131328045892</v>
      </c>
      <c r="C143" s="33">
        <v>0.70936525312183574</v>
      </c>
      <c r="D143" s="34">
        <v>0.93149999999999977</v>
      </c>
      <c r="E143" s="35">
        <v>0.91650000000000009</v>
      </c>
      <c r="F143" s="1">
        <f t="shared" si="12"/>
        <v>1.7734131328045892</v>
      </c>
      <c r="M143" s="67">
        <v>0.70936525312183574</v>
      </c>
      <c r="N143" s="33">
        <v>1.0545</v>
      </c>
      <c r="O143" s="60"/>
      <c r="Q143" s="33">
        <v>1.7734131328045892</v>
      </c>
      <c r="S143" s="137">
        <f t="shared" si="10"/>
        <v>1.0640478796827535</v>
      </c>
      <c r="T143" s="60">
        <f>loadA!C143-loadB!S143</f>
        <v>6.6492978671954104</v>
      </c>
      <c r="U143" s="138">
        <f t="shared" si="11"/>
        <v>1.7734131328045892</v>
      </c>
    </row>
    <row r="144" spans="1:21" x14ac:dyDescent="0.3">
      <c r="A144" s="15" t="s">
        <v>188</v>
      </c>
      <c r="B144" s="67">
        <v>1.0978742084411894</v>
      </c>
      <c r="C144" s="33">
        <v>0.43914968337647575</v>
      </c>
      <c r="D144" s="34">
        <v>0.75750000000000028</v>
      </c>
      <c r="E144" s="35">
        <v>0.8595000000000006</v>
      </c>
      <c r="F144" s="1">
        <f t="shared" si="12"/>
        <v>1.0978742084411894</v>
      </c>
      <c r="M144" s="67">
        <v>0.43914968337647575</v>
      </c>
      <c r="N144" s="33">
        <v>0.89550000000000018</v>
      </c>
      <c r="O144" s="60"/>
      <c r="Q144" s="33">
        <v>1.0978742084411894</v>
      </c>
      <c r="S144" s="137">
        <f t="shared" si="10"/>
        <v>0.65872452506471368</v>
      </c>
      <c r="T144" s="60">
        <f>loadA!C144-loadB!S144</f>
        <v>6.50397479155881</v>
      </c>
      <c r="U144" s="138">
        <f t="shared" si="11"/>
        <v>1.0978742084411894</v>
      </c>
    </row>
    <row r="145" spans="1:21" x14ac:dyDescent="0.3">
      <c r="A145" s="15" t="s">
        <v>189</v>
      </c>
      <c r="B145" s="67">
        <v>1.6401716748512936</v>
      </c>
      <c r="C145" s="33">
        <v>0.65606866994051738</v>
      </c>
      <c r="D145" s="34">
        <v>0.82350000000000012</v>
      </c>
      <c r="E145" s="35">
        <v>0.87450000000000028</v>
      </c>
      <c r="F145" s="1">
        <f t="shared" si="12"/>
        <v>1.6401716748512936</v>
      </c>
      <c r="M145" s="67">
        <v>0.65606866994051738</v>
      </c>
      <c r="N145" s="33">
        <v>0.96450000000000014</v>
      </c>
      <c r="O145" s="60"/>
      <c r="Q145" s="33">
        <v>1.6401716748512936</v>
      </c>
      <c r="S145" s="137">
        <f t="shared" si="10"/>
        <v>0.98410300491077618</v>
      </c>
      <c r="T145" s="60">
        <f>loadA!C145-loadB!S145</f>
        <v>3.5431293251487066</v>
      </c>
      <c r="U145" s="138">
        <f t="shared" si="11"/>
        <v>1.6401716748512936</v>
      </c>
    </row>
    <row r="146" spans="1:21" x14ac:dyDescent="0.3">
      <c r="A146" s="15" t="s">
        <v>190</v>
      </c>
      <c r="B146" s="67">
        <v>1.3155282881110963</v>
      </c>
      <c r="C146" s="33">
        <v>0.52621131524443854</v>
      </c>
      <c r="D146" s="34">
        <v>0.84450000000000003</v>
      </c>
      <c r="E146" s="35">
        <v>0.8805000000000005</v>
      </c>
      <c r="F146" s="1">
        <f t="shared" si="12"/>
        <v>1.3155282881110963</v>
      </c>
      <c r="M146" s="67">
        <v>0.52621131524443854</v>
      </c>
      <c r="N146" s="33">
        <v>0.88199999999999967</v>
      </c>
      <c r="O146" s="60"/>
      <c r="Q146" s="33">
        <v>1.3155282881110963</v>
      </c>
      <c r="S146" s="137">
        <f t="shared" si="10"/>
        <v>0.78931697286665781</v>
      </c>
      <c r="T146" s="60">
        <f>loadA!C146-loadB!S146</f>
        <v>2.2160337118889037</v>
      </c>
      <c r="U146" s="138">
        <f t="shared" si="11"/>
        <v>1.3155282881110963</v>
      </c>
    </row>
    <row r="147" spans="1:21" x14ac:dyDescent="0.3">
      <c r="A147" s="15" t="s">
        <v>191</v>
      </c>
      <c r="B147" s="67">
        <v>1.0884493529356944</v>
      </c>
      <c r="C147" s="33">
        <v>0.4353797411742778</v>
      </c>
      <c r="D147" s="34">
        <v>0.63000000000000034</v>
      </c>
      <c r="E147" s="35">
        <v>0.75</v>
      </c>
      <c r="F147" s="1">
        <f t="shared" si="12"/>
        <v>1.0884493529356944</v>
      </c>
      <c r="M147" s="67">
        <v>0.4353797411742778</v>
      </c>
      <c r="N147" s="33">
        <v>0.66600000000000037</v>
      </c>
      <c r="O147" s="60"/>
      <c r="Q147" s="33">
        <v>1.0884493529356944</v>
      </c>
      <c r="S147" s="137">
        <f t="shared" si="10"/>
        <v>0.65306961176141665</v>
      </c>
      <c r="T147" s="60">
        <f>loadA!C147-loadB!S147</f>
        <v>1.3373176470643058</v>
      </c>
      <c r="U147" s="138">
        <f t="shared" si="11"/>
        <v>1.0884493529356944</v>
      </c>
    </row>
    <row r="148" spans="1:21" x14ac:dyDescent="0.3">
      <c r="A148" s="15" t="s">
        <v>192</v>
      </c>
      <c r="B148" s="67">
        <v>1.26001785336856</v>
      </c>
      <c r="C148" s="33">
        <v>0.50400714134742397</v>
      </c>
      <c r="D148" s="34">
        <v>0.63000000000000034</v>
      </c>
      <c r="E148" s="35">
        <v>0.74100000000000055</v>
      </c>
      <c r="F148" s="1">
        <f t="shared" si="12"/>
        <v>1.26001785336856</v>
      </c>
      <c r="M148" s="67">
        <v>0.50400714134742397</v>
      </c>
      <c r="N148" s="33">
        <v>0.57450000000000001</v>
      </c>
      <c r="O148" s="60"/>
      <c r="Q148" s="33">
        <v>1.26001785336856</v>
      </c>
      <c r="S148" s="137">
        <f t="shared" si="10"/>
        <v>0.75601071202113601</v>
      </c>
      <c r="T148" s="60">
        <f>loadA!C148-loadB!S148</f>
        <v>0.82486414663143981</v>
      </c>
      <c r="U148" s="138">
        <f t="shared" si="11"/>
        <v>1.26001785336856</v>
      </c>
    </row>
    <row r="149" spans="1:21" x14ac:dyDescent="0.3">
      <c r="A149" s="15" t="s">
        <v>193</v>
      </c>
      <c r="B149" s="67">
        <v>1.761421535667107</v>
      </c>
      <c r="C149" s="33">
        <v>0.7045686142668427</v>
      </c>
      <c r="D149" s="34">
        <v>0.62250000000000005</v>
      </c>
      <c r="E149" s="35">
        <v>0.78150000000000031</v>
      </c>
      <c r="F149" s="1">
        <f t="shared" si="12"/>
        <v>1.7614215356671068</v>
      </c>
      <c r="M149" s="67">
        <v>0.7045686142668427</v>
      </c>
      <c r="N149" s="33">
        <v>0.621</v>
      </c>
      <c r="O149" s="60"/>
      <c r="Q149" s="33">
        <v>1.761421535667107</v>
      </c>
      <c r="S149" s="137">
        <f t="shared" si="10"/>
        <v>1.0568529214002642</v>
      </c>
      <c r="T149" s="60">
        <f>loadA!C149-loadB!S149</f>
        <v>1.1531054643328931</v>
      </c>
      <c r="U149" s="138">
        <f t="shared" si="11"/>
        <v>1.761421535667107</v>
      </c>
    </row>
    <row r="150" spans="1:21" x14ac:dyDescent="0.3">
      <c r="A150" s="15" t="s">
        <v>194</v>
      </c>
      <c r="B150" s="67">
        <v>1.1004535765327135</v>
      </c>
      <c r="C150" s="33">
        <v>0.44018143061308534</v>
      </c>
      <c r="D150" s="34">
        <v>0.65249999999999986</v>
      </c>
      <c r="E150" s="35">
        <v>0.77700000000000014</v>
      </c>
      <c r="F150" s="1">
        <f t="shared" si="12"/>
        <v>1.1004535765327135</v>
      </c>
      <c r="M150" s="67">
        <v>0.44018143061308534</v>
      </c>
      <c r="N150" s="33">
        <v>0.64800000000000013</v>
      </c>
      <c r="O150" s="60"/>
      <c r="Q150" s="33">
        <v>1.1004535765327135</v>
      </c>
      <c r="S150" s="137">
        <f t="shared" si="10"/>
        <v>0.66027214591962813</v>
      </c>
      <c r="T150" s="60">
        <f>loadA!C150-loadB!S150</f>
        <v>0.71674742346728659</v>
      </c>
      <c r="U150" s="138">
        <f t="shared" si="11"/>
        <v>1.1004535765327135</v>
      </c>
    </row>
    <row r="151" spans="1:21" x14ac:dyDescent="0.3">
      <c r="A151" s="15" t="s">
        <v>195</v>
      </c>
      <c r="B151" s="67">
        <v>1.3101252331468158</v>
      </c>
      <c r="C151" s="33">
        <v>0.52405009325872631</v>
      </c>
      <c r="D151" s="34">
        <v>0.70950000000000024</v>
      </c>
      <c r="E151" s="35">
        <v>0.78000000000000025</v>
      </c>
      <c r="F151" s="1">
        <f t="shared" si="12"/>
        <v>1.3101252331468158</v>
      </c>
      <c r="M151" s="67">
        <v>0.52405009325872631</v>
      </c>
      <c r="N151" s="33">
        <v>0.57900000000000018</v>
      </c>
      <c r="O151" s="60"/>
      <c r="Q151" s="33">
        <v>1.3101252331468158</v>
      </c>
      <c r="S151" s="137">
        <f t="shared" si="10"/>
        <v>0.78607513988808952</v>
      </c>
      <c r="T151" s="60">
        <f>loadA!C151-loadB!S151</f>
        <v>0.85331076685318397</v>
      </c>
      <c r="U151" s="138">
        <f t="shared" si="11"/>
        <v>1.3101252331468158</v>
      </c>
    </row>
    <row r="152" spans="1:21" x14ac:dyDescent="0.3">
      <c r="A152" s="15" t="s">
        <v>196</v>
      </c>
      <c r="B152" s="67">
        <v>1.3479321895640684</v>
      </c>
      <c r="C152" s="33">
        <v>0.53917287582562734</v>
      </c>
      <c r="D152" s="34">
        <v>0.82200000000000006</v>
      </c>
      <c r="E152" s="35">
        <v>0.9300000000000006</v>
      </c>
      <c r="F152" s="1">
        <f t="shared" si="12"/>
        <v>1.3479321895640684</v>
      </c>
      <c r="M152" s="67">
        <v>0.53917287582562734</v>
      </c>
      <c r="N152" s="33">
        <v>0.73050000000000015</v>
      </c>
      <c r="O152" s="60"/>
      <c r="Q152" s="33">
        <v>1.3479321895640684</v>
      </c>
      <c r="S152" s="137">
        <f t="shared" si="10"/>
        <v>0.80875931373844101</v>
      </c>
      <c r="T152" s="60">
        <f>loadA!C152-loadB!S152</f>
        <v>0.88241681043593156</v>
      </c>
      <c r="U152" s="138">
        <f t="shared" si="11"/>
        <v>1.3479321895640684</v>
      </c>
    </row>
    <row r="153" spans="1:21" x14ac:dyDescent="0.3">
      <c r="A153" s="15" t="s">
        <v>197</v>
      </c>
      <c r="B153" s="67">
        <v>0.8774547820343459</v>
      </c>
      <c r="C153" s="33">
        <v>0.35098191281373836</v>
      </c>
      <c r="D153" s="34">
        <v>0.88649999999999984</v>
      </c>
      <c r="E153" s="35">
        <v>1.0425000000000004</v>
      </c>
      <c r="F153" s="1">
        <f t="shared" si="12"/>
        <v>0.8774547820343459</v>
      </c>
      <c r="M153" s="67">
        <v>0.35098191281373836</v>
      </c>
      <c r="N153" s="33">
        <v>0.83100000000000041</v>
      </c>
      <c r="O153" s="60"/>
      <c r="Q153" s="33">
        <v>0.8774547820343459</v>
      </c>
      <c r="S153" s="137">
        <f t="shared" si="10"/>
        <v>0.52647286922060754</v>
      </c>
      <c r="T153" s="60">
        <f>loadA!C153-loadB!S153</f>
        <v>0.57442121796565404</v>
      </c>
      <c r="U153" s="138">
        <f t="shared" si="11"/>
        <v>0.8774547820343459</v>
      </c>
    </row>
    <row r="154" spans="1:21" x14ac:dyDescent="0.3">
      <c r="A154" s="15" t="s">
        <v>198</v>
      </c>
      <c r="B154" s="67">
        <v>0.9238067229163287</v>
      </c>
      <c r="C154" s="33">
        <v>0.36952268916653147</v>
      </c>
      <c r="D154" s="34">
        <v>1.1959999999999997</v>
      </c>
      <c r="E154" s="35">
        <v>1.3899999999999997</v>
      </c>
      <c r="F154" s="1">
        <f t="shared" si="12"/>
        <v>0.9238067229163287</v>
      </c>
      <c r="M154" s="67">
        <v>0.36952268916653147</v>
      </c>
      <c r="N154" s="33">
        <v>1.1819999999999995</v>
      </c>
      <c r="O154" s="60"/>
      <c r="Q154" s="33">
        <v>0.9238067229163287</v>
      </c>
      <c r="S154" s="137">
        <f t="shared" si="10"/>
        <v>0.55428403374979718</v>
      </c>
      <c r="T154" s="60">
        <f>loadA!C154-loadB!S154</f>
        <v>0.4426142770836714</v>
      </c>
      <c r="U154" s="138">
        <f t="shared" si="11"/>
        <v>0.9238067229163287</v>
      </c>
    </row>
    <row r="155" spans="1:21" x14ac:dyDescent="0.3">
      <c r="A155" s="15" t="s">
        <v>199</v>
      </c>
      <c r="B155" s="67">
        <v>1.1057622609238622</v>
      </c>
      <c r="C155" s="33">
        <v>0.44230490436954489</v>
      </c>
      <c r="D155" s="34">
        <v>1.29</v>
      </c>
      <c r="E155" s="35">
        <v>1.5339999999999998</v>
      </c>
      <c r="F155" s="1">
        <f t="shared" si="12"/>
        <v>1.1057622609238622</v>
      </c>
      <c r="M155" s="67">
        <v>0.44230490436954489</v>
      </c>
      <c r="N155" s="33">
        <v>1.274</v>
      </c>
      <c r="O155" s="60"/>
      <c r="Q155" s="33">
        <v>1.1057622609238622</v>
      </c>
      <c r="S155" s="137">
        <f t="shared" si="10"/>
        <v>0.66345735655431737</v>
      </c>
      <c r="T155" s="60">
        <f>loadA!C155-loadB!S155</f>
        <v>0.52344573907613778</v>
      </c>
      <c r="U155" s="138">
        <f t="shared" si="11"/>
        <v>1.1057622609238622</v>
      </c>
    </row>
    <row r="156" spans="1:21" x14ac:dyDescent="0.3">
      <c r="A156" s="15" t="s">
        <v>200</v>
      </c>
      <c r="B156" s="67">
        <v>4.899119376315558</v>
      </c>
      <c r="C156" s="33">
        <v>4.899119376315558</v>
      </c>
      <c r="D156" s="34">
        <v>1.9860000000000007</v>
      </c>
      <c r="E156" s="35">
        <v>2.3580000000000005</v>
      </c>
      <c r="M156" s="67">
        <v>4.899119376315558</v>
      </c>
      <c r="N156" s="33">
        <v>1.992</v>
      </c>
      <c r="O156" s="60"/>
      <c r="Q156" s="33">
        <v>4.899119376315558</v>
      </c>
      <c r="S156" s="137">
        <f t="shared" si="10"/>
        <v>0</v>
      </c>
      <c r="T156" s="60">
        <f>loadA!C156-loadB!S156</f>
        <v>1.1743806236844421</v>
      </c>
      <c r="U156" s="138">
        <f t="shared" si="11"/>
        <v>4.899119376315558</v>
      </c>
    </row>
    <row r="157" spans="1:21" x14ac:dyDescent="0.3">
      <c r="A157" s="15" t="s">
        <v>201</v>
      </c>
      <c r="B157" s="67">
        <v>7.3028683151857052</v>
      </c>
      <c r="C157" s="33">
        <v>7.3028683151857052</v>
      </c>
      <c r="D157" s="34">
        <v>2.9550000000000001</v>
      </c>
      <c r="E157" s="35">
        <v>3.4</v>
      </c>
      <c r="M157" s="67">
        <v>7.3028683151857052</v>
      </c>
      <c r="N157" s="33">
        <v>2.79</v>
      </c>
      <c r="O157" s="60"/>
      <c r="Q157" s="33">
        <v>7.3028683151857052</v>
      </c>
      <c r="S157" s="137">
        <f t="shared" si="10"/>
        <v>0</v>
      </c>
      <c r="T157" s="60">
        <f>loadA!C157-loadB!S157</f>
        <v>3.3827816848142955</v>
      </c>
      <c r="U157" s="138">
        <f t="shared" si="11"/>
        <v>7.3028683151857052</v>
      </c>
    </row>
    <row r="158" spans="1:21" x14ac:dyDescent="0.3">
      <c r="A158" s="15" t="s">
        <v>202</v>
      </c>
      <c r="B158" s="67">
        <v>4.4887683070389688</v>
      </c>
      <c r="C158" s="33">
        <v>4.4887683070389688</v>
      </c>
      <c r="D158" s="34">
        <v>3.03</v>
      </c>
      <c r="E158" s="35">
        <v>3.49</v>
      </c>
      <c r="M158" s="67">
        <v>4.4887683070389688</v>
      </c>
      <c r="N158" s="33">
        <v>2.81</v>
      </c>
      <c r="O158" s="60"/>
      <c r="Q158" s="33">
        <v>4.4887683070389688</v>
      </c>
      <c r="S158" s="137">
        <f t="shared" si="10"/>
        <v>0</v>
      </c>
      <c r="T158" s="60">
        <f>loadA!C158-loadB!S158</f>
        <v>2.0792546929610314</v>
      </c>
      <c r="U158" s="138">
        <f t="shared" si="11"/>
        <v>4.4887683070389688</v>
      </c>
    </row>
    <row r="159" spans="1:21" x14ac:dyDescent="0.3">
      <c r="A159" s="15" t="s">
        <v>203</v>
      </c>
      <c r="B159" s="67">
        <v>0.38497379788306452</v>
      </c>
      <c r="C159" s="33">
        <v>0.38497379788306452</v>
      </c>
      <c r="D159" s="34">
        <v>4.3550000000000004</v>
      </c>
      <c r="E159" s="35">
        <v>4.9530000000000003</v>
      </c>
      <c r="M159" s="67">
        <v>0.38497379788306452</v>
      </c>
      <c r="N159" s="33">
        <v>4.4395000000000007</v>
      </c>
      <c r="O159" s="60"/>
      <c r="Q159" s="33">
        <v>0.38497379788306452</v>
      </c>
      <c r="S159" s="137">
        <f t="shared" si="10"/>
        <v>0</v>
      </c>
      <c r="T159" s="60">
        <f>loadA!C159-loadB!S159</f>
        <v>1.0062612021169355</v>
      </c>
      <c r="U159" s="138">
        <f t="shared" si="11"/>
        <v>0.38497379788306452</v>
      </c>
    </row>
    <row r="160" spans="1:21" x14ac:dyDescent="0.3">
      <c r="A160" s="15" t="s">
        <v>204</v>
      </c>
      <c r="B160" s="67">
        <v>0.73158284637134774</v>
      </c>
      <c r="C160" s="33">
        <v>0.73158284637134774</v>
      </c>
      <c r="D160" s="34">
        <v>5.3625000000000007</v>
      </c>
      <c r="E160" s="35">
        <v>5.8825000000000003</v>
      </c>
      <c r="M160" s="67">
        <v>0.73158284637134774</v>
      </c>
      <c r="N160" s="33">
        <v>5.0635000000000003</v>
      </c>
      <c r="O160" s="60"/>
      <c r="Q160" s="33">
        <v>0.73158284637134774</v>
      </c>
      <c r="S160" s="137">
        <f t="shared" si="10"/>
        <v>0</v>
      </c>
      <c r="T160" s="60">
        <f>loadA!C160-loadB!S160</f>
        <v>3.1494641536286525</v>
      </c>
      <c r="U160" s="138">
        <f t="shared" si="11"/>
        <v>0.73158284637134774</v>
      </c>
    </row>
    <row r="161" spans="1:21" x14ac:dyDescent="0.3">
      <c r="A161" s="15" t="s">
        <v>205</v>
      </c>
      <c r="B161" s="67">
        <v>4.7477191103588288</v>
      </c>
      <c r="C161" s="33">
        <v>4.7477191103588288</v>
      </c>
      <c r="D161" s="34">
        <v>4.8100000000000005</v>
      </c>
      <c r="E161" s="35">
        <v>5.4275000000000002</v>
      </c>
      <c r="M161" s="67">
        <v>4.7477191103588288</v>
      </c>
      <c r="N161" s="33">
        <v>4.3940000000000001</v>
      </c>
      <c r="O161" s="60"/>
      <c r="Q161" s="33">
        <v>4.7477191103588288</v>
      </c>
      <c r="S161" s="137">
        <f t="shared" si="10"/>
        <v>0</v>
      </c>
      <c r="T161" s="60">
        <f>loadA!C161-loadB!S161</f>
        <v>3.7826308896411716</v>
      </c>
      <c r="U161" s="138">
        <f t="shared" si="11"/>
        <v>4.7477191103588288</v>
      </c>
    </row>
    <row r="162" spans="1:21" x14ac:dyDescent="0.3">
      <c r="A162" s="15" t="s">
        <v>206</v>
      </c>
      <c r="B162" s="67">
        <v>4.3443593681473667</v>
      </c>
      <c r="C162" s="33">
        <v>4.3443593681473667</v>
      </c>
      <c r="D162" s="34">
        <v>3.43</v>
      </c>
      <c r="E162" s="35">
        <v>3.895</v>
      </c>
      <c r="M162" s="67">
        <v>4.3443593681473667</v>
      </c>
      <c r="N162" s="33">
        <v>3.4550000000000001</v>
      </c>
      <c r="O162" s="60"/>
      <c r="Q162" s="33">
        <v>4.3443593681473667</v>
      </c>
      <c r="S162" s="137">
        <f t="shared" si="10"/>
        <v>0</v>
      </c>
      <c r="T162" s="60">
        <f>loadA!C162-loadB!S162</f>
        <v>2.0123626318526338</v>
      </c>
      <c r="U162" s="138">
        <f t="shared" si="11"/>
        <v>4.3443593681473667</v>
      </c>
    </row>
    <row r="163" spans="1:21" x14ac:dyDescent="0.3">
      <c r="A163" s="15" t="s">
        <v>207</v>
      </c>
      <c r="B163" s="67">
        <v>7.2193397918406585</v>
      </c>
      <c r="C163" s="33">
        <v>7.2193397918406585</v>
      </c>
      <c r="D163" s="34">
        <v>2.92</v>
      </c>
      <c r="E163" s="35">
        <v>3.38</v>
      </c>
      <c r="M163" s="67">
        <v>7.2193397918406585</v>
      </c>
      <c r="N163" s="33">
        <v>2.7</v>
      </c>
      <c r="O163" s="60"/>
      <c r="Q163" s="33">
        <v>7.2193397918406585</v>
      </c>
      <c r="S163" s="137">
        <f t="shared" si="10"/>
        <v>0</v>
      </c>
      <c r="T163" s="60">
        <f>loadA!C163-loadB!S163</f>
        <v>3.3440902081593418</v>
      </c>
      <c r="U163" s="138">
        <f t="shared" si="11"/>
        <v>7.2193397918406585</v>
      </c>
    </row>
    <row r="164" spans="1:21" x14ac:dyDescent="0.3">
      <c r="A164" s="15" t="s">
        <v>208</v>
      </c>
      <c r="B164" s="67">
        <v>4.6955153700810417</v>
      </c>
      <c r="C164" s="33">
        <v>4.6955153700810417</v>
      </c>
      <c r="D164" s="34">
        <v>3.1160000000000005</v>
      </c>
      <c r="E164" s="35">
        <v>3.968</v>
      </c>
      <c r="M164" s="67">
        <v>4.6955153700810417</v>
      </c>
      <c r="N164" s="33">
        <v>3.0960000000000001</v>
      </c>
      <c r="O164" s="60"/>
      <c r="Q164" s="33">
        <v>4.6955153700810417</v>
      </c>
      <c r="S164" s="137">
        <f t="shared" si="10"/>
        <v>0</v>
      </c>
      <c r="T164" s="60">
        <f>loadA!C164-loadB!S164</f>
        <v>2.5665266299189584</v>
      </c>
      <c r="U164" s="138">
        <f t="shared" si="11"/>
        <v>4.6955153700810417</v>
      </c>
    </row>
    <row r="165" spans="1:21" x14ac:dyDescent="0.3">
      <c r="A165" s="15" t="s">
        <v>209</v>
      </c>
      <c r="B165" s="67">
        <v>1.5023780411067247</v>
      </c>
      <c r="C165" s="33">
        <v>0.6009512164426899</v>
      </c>
      <c r="D165" s="34">
        <v>1.7159999999999993</v>
      </c>
      <c r="E165" s="35">
        <v>1.9899999999999993</v>
      </c>
      <c r="F165" s="1">
        <f t="shared" ref="F165:F170" si="13">C165*2.5</f>
        <v>1.5023780411067247</v>
      </c>
      <c r="M165" s="67">
        <v>0.6009512164426899</v>
      </c>
      <c r="N165" s="33">
        <v>1.7139999999999995</v>
      </c>
      <c r="O165" s="60"/>
      <c r="Q165" s="33">
        <v>1.5023780411067247</v>
      </c>
      <c r="S165" s="137">
        <f t="shared" si="10"/>
        <v>0.90142682466403479</v>
      </c>
      <c r="T165" s="60">
        <f>loadA!C165-loadB!S165</f>
        <v>2.4247259588932755</v>
      </c>
      <c r="U165" s="138">
        <f t="shared" si="11"/>
        <v>1.5023780411067247</v>
      </c>
    </row>
    <row r="166" spans="1:21" x14ac:dyDescent="0.3">
      <c r="A166" s="15" t="s">
        <v>210</v>
      </c>
      <c r="B166" s="67">
        <v>1.7530499692983272</v>
      </c>
      <c r="C166" s="33">
        <v>0.70121998771933092</v>
      </c>
      <c r="D166" s="34">
        <v>1.6999999999999993</v>
      </c>
      <c r="E166" s="35">
        <v>2.1079999999999988</v>
      </c>
      <c r="F166" s="1">
        <f t="shared" si="13"/>
        <v>1.7530499692983272</v>
      </c>
      <c r="M166" s="67">
        <v>0.70121998771933092</v>
      </c>
      <c r="N166" s="33">
        <v>1.6179999999999994</v>
      </c>
      <c r="O166" s="60"/>
      <c r="Q166" s="33">
        <v>1.7530499692983272</v>
      </c>
      <c r="S166" s="137">
        <f t="shared" si="10"/>
        <v>1.0518299815789964</v>
      </c>
      <c r="T166" s="60">
        <f>loadA!C166-loadB!S166</f>
        <v>1.6791600307016727</v>
      </c>
      <c r="U166" s="138">
        <f t="shared" si="11"/>
        <v>1.7530499692983272</v>
      </c>
    </row>
    <row r="167" spans="1:21" x14ac:dyDescent="0.3">
      <c r="A167" s="15" t="s">
        <v>211</v>
      </c>
      <c r="B167" s="67">
        <v>1.7419079138925531</v>
      </c>
      <c r="C167" s="33">
        <v>0.69676316555702122</v>
      </c>
      <c r="D167" s="34">
        <v>0.92850000000000055</v>
      </c>
      <c r="E167" s="35">
        <v>1.0274999999999999</v>
      </c>
      <c r="F167" s="1">
        <f t="shared" si="13"/>
        <v>1.7419079138925531</v>
      </c>
      <c r="M167" s="67">
        <v>0.69676316555702122</v>
      </c>
      <c r="N167" s="33">
        <v>0.84450000000000003</v>
      </c>
      <c r="O167" s="60"/>
      <c r="Q167" s="33">
        <v>1.7419079138925531</v>
      </c>
      <c r="S167" s="137">
        <f t="shared" si="10"/>
        <v>1.0451447483355318</v>
      </c>
      <c r="T167" s="60">
        <f>loadA!C167-loadB!S167</f>
        <v>6.5311710861074461</v>
      </c>
      <c r="U167" s="138">
        <f t="shared" si="11"/>
        <v>1.7419079138925531</v>
      </c>
    </row>
    <row r="168" spans="1:21" x14ac:dyDescent="0.3">
      <c r="A168" s="15" t="s">
        <v>212</v>
      </c>
      <c r="B168" s="67">
        <v>0.36249473372687663</v>
      </c>
      <c r="C168" s="33">
        <v>0.14499789349075065</v>
      </c>
      <c r="D168" s="34">
        <v>0.82050000000000001</v>
      </c>
      <c r="E168" s="35">
        <v>1.0125000000000002</v>
      </c>
      <c r="F168" s="1">
        <f t="shared" si="13"/>
        <v>0.36249473372687663</v>
      </c>
      <c r="M168" s="67">
        <v>0.14499789349075065</v>
      </c>
      <c r="N168" s="33">
        <v>0.82800000000000029</v>
      </c>
      <c r="O168" s="60"/>
      <c r="Q168" s="33">
        <v>0.36249473372687663</v>
      </c>
      <c r="S168" s="137">
        <f t="shared" si="10"/>
        <v>0.21749684023612598</v>
      </c>
      <c r="T168" s="60">
        <f>loadA!C168-loadB!S168</f>
        <v>2.147474266273123</v>
      </c>
      <c r="U168" s="138">
        <f t="shared" si="11"/>
        <v>0.36249473372687663</v>
      </c>
    </row>
    <row r="169" spans="1:21" x14ac:dyDescent="0.3">
      <c r="A169" s="15" t="s">
        <v>213</v>
      </c>
      <c r="B169" s="67">
        <v>1.1417529862359939</v>
      </c>
      <c r="C169" s="33">
        <v>0.45670119449439756</v>
      </c>
      <c r="D169" s="34">
        <v>0.85350000000000037</v>
      </c>
      <c r="E169" s="35">
        <v>0.95849999999999991</v>
      </c>
      <c r="F169" s="1">
        <f t="shared" si="13"/>
        <v>1.1417529862359939</v>
      </c>
      <c r="M169" s="67">
        <v>0.45670119449439756</v>
      </c>
      <c r="N169" s="33">
        <v>0.83100000000000041</v>
      </c>
      <c r="O169" s="60"/>
      <c r="Q169" s="33">
        <v>1.1417529862359939</v>
      </c>
      <c r="S169" s="137">
        <f t="shared" si="10"/>
        <v>0.68505179174159636</v>
      </c>
      <c r="T169" s="60">
        <f>loadA!C169-loadB!S169</f>
        <v>2.4664360137640058</v>
      </c>
      <c r="U169" s="138">
        <f t="shared" si="11"/>
        <v>1.1417529862359939</v>
      </c>
    </row>
    <row r="170" spans="1:21" ht="15" thickBot="1" x14ac:dyDescent="0.35">
      <c r="A170" s="15" t="s">
        <v>45</v>
      </c>
      <c r="B170" s="67">
        <v>1.0157942574463965</v>
      </c>
      <c r="C170" s="36">
        <v>0.40631770297855857</v>
      </c>
      <c r="D170" s="37">
        <v>0.92700000000000049</v>
      </c>
      <c r="E170" s="38">
        <v>0.9480000000000004</v>
      </c>
      <c r="F170" s="1">
        <f t="shared" si="13"/>
        <v>1.0157942574463965</v>
      </c>
      <c r="M170" s="67">
        <v>0.40631770297855857</v>
      </c>
      <c r="N170" s="36">
        <v>0.84299999999999997</v>
      </c>
      <c r="O170" s="60"/>
      <c r="Q170" s="36">
        <v>1.0157942574463965</v>
      </c>
      <c r="S170" s="137">
        <f t="shared" si="10"/>
        <v>0.60947655446783799</v>
      </c>
      <c r="T170" s="60">
        <f>loadA!C170-loadB!S170</f>
        <v>1.7111257425536033</v>
      </c>
      <c r="U170" s="138">
        <f t="shared" si="11"/>
        <v>1.0157942574463965</v>
      </c>
    </row>
    <row r="171" spans="1:21" s="1" customFormat="1" x14ac:dyDescent="0.3"/>
    <row r="172" spans="1:21" s="1" customFormat="1" x14ac:dyDescent="0.3"/>
    <row r="173" spans="1:21" s="1" customFormat="1" x14ac:dyDescent="0.3"/>
    <row r="174" spans="1:21" s="1" customFormat="1" x14ac:dyDescent="0.3"/>
    <row r="175" spans="1:21" s="1" customFormat="1" x14ac:dyDescent="0.3"/>
    <row r="176" spans="1:21" s="1" customFormat="1" x14ac:dyDescent="0.3"/>
    <row r="177" s="1" customFormat="1" x14ac:dyDescent="0.3"/>
    <row r="178" s="1" customFormat="1" x14ac:dyDescent="0.3"/>
    <row r="179" s="1" customFormat="1" x14ac:dyDescent="0.3"/>
    <row r="180" s="1" customFormat="1" x14ac:dyDescent="0.3"/>
    <row r="181" s="1" customFormat="1" x14ac:dyDescent="0.3"/>
    <row r="182" s="1" customFormat="1" x14ac:dyDescent="0.3"/>
    <row r="183" s="1" customFormat="1" x14ac:dyDescent="0.3"/>
    <row r="184" s="1" customFormat="1" x14ac:dyDescent="0.3"/>
    <row r="185" s="1" customFormat="1" x14ac:dyDescent="0.3"/>
    <row r="186" s="1" customFormat="1" x14ac:dyDescent="0.3"/>
    <row r="187" s="1" customFormat="1" x14ac:dyDescent="0.3"/>
    <row r="188" s="1" customFormat="1" x14ac:dyDescent="0.3"/>
    <row r="189" s="1" customFormat="1" x14ac:dyDescent="0.3"/>
    <row r="190" s="1" customFormat="1" x14ac:dyDescent="0.3"/>
    <row r="191" s="1" customFormat="1" x14ac:dyDescent="0.3"/>
    <row r="192" s="1" customFormat="1" x14ac:dyDescent="0.3"/>
    <row r="193" s="1" customFormat="1" x14ac:dyDescent="0.3"/>
    <row r="194" s="1" customFormat="1" x14ac:dyDescent="0.3"/>
    <row r="195" s="1" customFormat="1" x14ac:dyDescent="0.3"/>
    <row r="196" s="1" customFormat="1" x14ac:dyDescent="0.3"/>
    <row r="197" s="1" customFormat="1" x14ac:dyDescent="0.3"/>
    <row r="198" s="1" customFormat="1" x14ac:dyDescent="0.3"/>
    <row r="199" s="1" customFormat="1" x14ac:dyDescent="0.3"/>
    <row r="200" s="1" customFormat="1" x14ac:dyDescent="0.3"/>
    <row r="201" s="1" customFormat="1" x14ac:dyDescent="0.3"/>
    <row r="202" s="1" customFormat="1" x14ac:dyDescent="0.3"/>
    <row r="203" s="1" customFormat="1" x14ac:dyDescent="0.3"/>
    <row r="204" s="1" customFormat="1" x14ac:dyDescent="0.3"/>
    <row r="205" s="1" customFormat="1" x14ac:dyDescent="0.3"/>
    <row r="206" s="1" customFormat="1" x14ac:dyDescent="0.3"/>
    <row r="207" s="1" customFormat="1" x14ac:dyDescent="0.3"/>
    <row r="208" s="1" customFormat="1" x14ac:dyDescent="0.3"/>
    <row r="209" s="1" customFormat="1" x14ac:dyDescent="0.3"/>
    <row r="210" s="1" customFormat="1" x14ac:dyDescent="0.3"/>
    <row r="211" s="1" customFormat="1" x14ac:dyDescent="0.3"/>
    <row r="212" s="1" customFormat="1" x14ac:dyDescent="0.3"/>
    <row r="213" s="1" customFormat="1" x14ac:dyDescent="0.3"/>
    <row r="214" s="1" customFormat="1" x14ac:dyDescent="0.3"/>
    <row r="215" s="1" customFormat="1" x14ac:dyDescent="0.3"/>
    <row r="216" s="1" customFormat="1" x14ac:dyDescent="0.3"/>
    <row r="217" s="1" customFormat="1" x14ac:dyDescent="0.3"/>
    <row r="218" s="1" customFormat="1" x14ac:dyDescent="0.3"/>
    <row r="219" s="1" customFormat="1" x14ac:dyDescent="0.3"/>
    <row r="220" s="1" customFormat="1" x14ac:dyDescent="0.3"/>
    <row r="221" s="1" customFormat="1" x14ac:dyDescent="0.3"/>
    <row r="222" s="1" customFormat="1" x14ac:dyDescent="0.3"/>
    <row r="223" s="1" customFormat="1" x14ac:dyDescent="0.3"/>
    <row r="224" s="1" customFormat="1" x14ac:dyDescent="0.3"/>
    <row r="225" s="1" customFormat="1" x14ac:dyDescent="0.3"/>
    <row r="226" s="1" customFormat="1" x14ac:dyDescent="0.3"/>
    <row r="227" s="1" customFormat="1" x14ac:dyDescent="0.3"/>
    <row r="228" s="1" customFormat="1" x14ac:dyDescent="0.3"/>
    <row r="229" s="1" customFormat="1" x14ac:dyDescent="0.3"/>
    <row r="230" s="1" customFormat="1" x14ac:dyDescent="0.3"/>
    <row r="231" s="1" customFormat="1" x14ac:dyDescent="0.3"/>
    <row r="232" s="1" customFormat="1" x14ac:dyDescent="0.3"/>
    <row r="233" s="1" customFormat="1" x14ac:dyDescent="0.3"/>
    <row r="234" s="1" customFormat="1" x14ac:dyDescent="0.3"/>
    <row r="235" s="1" customFormat="1" x14ac:dyDescent="0.3"/>
    <row r="236" s="1" customFormat="1" x14ac:dyDescent="0.3"/>
    <row r="237" s="1" customFormat="1" x14ac:dyDescent="0.3"/>
    <row r="238" s="1" customFormat="1" x14ac:dyDescent="0.3"/>
    <row r="239" s="1" customFormat="1" x14ac:dyDescent="0.3"/>
    <row r="240" s="1" customFormat="1" x14ac:dyDescent="0.3"/>
    <row r="241" s="1" customFormat="1" x14ac:dyDescent="0.3"/>
    <row r="242" s="1" customFormat="1" x14ac:dyDescent="0.3"/>
    <row r="243" s="1" customFormat="1" x14ac:dyDescent="0.3"/>
    <row r="244" s="1" customFormat="1" x14ac:dyDescent="0.3"/>
    <row r="245" s="1" customFormat="1" x14ac:dyDescent="0.3"/>
    <row r="246" s="1" customFormat="1" x14ac:dyDescent="0.3"/>
    <row r="247" s="1" customFormat="1" x14ac:dyDescent="0.3"/>
    <row r="248" s="1" customFormat="1" x14ac:dyDescent="0.3"/>
    <row r="249" s="1" customFormat="1" x14ac:dyDescent="0.3"/>
    <row r="250" s="1" customFormat="1" x14ac:dyDescent="0.3"/>
    <row r="251" s="1" customFormat="1" x14ac:dyDescent="0.3"/>
    <row r="252" s="1" customFormat="1" x14ac:dyDescent="0.3"/>
    <row r="253" s="1" customFormat="1" x14ac:dyDescent="0.3"/>
    <row r="254" s="1" customFormat="1" x14ac:dyDescent="0.3"/>
    <row r="255" s="1" customFormat="1" x14ac:dyDescent="0.3"/>
    <row r="256" s="1" customFormat="1" x14ac:dyDescent="0.3"/>
    <row r="257" s="1" customFormat="1" x14ac:dyDescent="0.3"/>
    <row r="258" s="1" customFormat="1" x14ac:dyDescent="0.3"/>
    <row r="259" s="1" customFormat="1" x14ac:dyDescent="0.3"/>
    <row r="260" s="1" customFormat="1" x14ac:dyDescent="0.3"/>
    <row r="261" s="1" customFormat="1" x14ac:dyDescent="0.3"/>
    <row r="262" s="1" customFormat="1" x14ac:dyDescent="0.3"/>
    <row r="263" s="1" customFormat="1" x14ac:dyDescent="0.3"/>
    <row r="264" s="1" customFormat="1" x14ac:dyDescent="0.3"/>
    <row r="265" s="1" customFormat="1" x14ac:dyDescent="0.3"/>
    <row r="266" s="1" customFormat="1" x14ac:dyDescent="0.3"/>
    <row r="267" s="1" customFormat="1" x14ac:dyDescent="0.3"/>
    <row r="268" s="1" customFormat="1" x14ac:dyDescent="0.3"/>
    <row r="269" s="1" customFormat="1" x14ac:dyDescent="0.3"/>
    <row r="270" s="1" customFormat="1" x14ac:dyDescent="0.3"/>
    <row r="271" s="1" customFormat="1" x14ac:dyDescent="0.3"/>
    <row r="272" s="1" customFormat="1" x14ac:dyDescent="0.3"/>
    <row r="273" s="1" customFormat="1" x14ac:dyDescent="0.3"/>
    <row r="274" s="1" customFormat="1" x14ac:dyDescent="0.3"/>
    <row r="275" s="1" customFormat="1" x14ac:dyDescent="0.3"/>
    <row r="276" s="1" customFormat="1" x14ac:dyDescent="0.3"/>
    <row r="277" s="1" customFormat="1" x14ac:dyDescent="0.3"/>
    <row r="278" s="1" customFormat="1" x14ac:dyDescent="0.3"/>
    <row r="279" s="1" customFormat="1" x14ac:dyDescent="0.3"/>
    <row r="280" s="1" customFormat="1" x14ac:dyDescent="0.3"/>
    <row r="281" s="1" customFormat="1" x14ac:dyDescent="0.3"/>
    <row r="282" s="1" customFormat="1" x14ac:dyDescent="0.3"/>
    <row r="283" s="1" customFormat="1" x14ac:dyDescent="0.3"/>
    <row r="284" s="1" customFormat="1" x14ac:dyDescent="0.3"/>
    <row r="285" s="1" customFormat="1" x14ac:dyDescent="0.3"/>
    <row r="286" s="1" customFormat="1" x14ac:dyDescent="0.3"/>
    <row r="287" s="1" customFormat="1" x14ac:dyDescent="0.3"/>
    <row r="288" s="1" customFormat="1" x14ac:dyDescent="0.3"/>
    <row r="289" s="1" customFormat="1" x14ac:dyDescent="0.3"/>
    <row r="290" s="1" customFormat="1" x14ac:dyDescent="0.3"/>
    <row r="291" s="1" customFormat="1" x14ac:dyDescent="0.3"/>
    <row r="292" s="1" customFormat="1" x14ac:dyDescent="0.3"/>
    <row r="293" s="1" customFormat="1" x14ac:dyDescent="0.3"/>
    <row r="294" s="1" customFormat="1" x14ac:dyDescent="0.3"/>
    <row r="295" s="1" customFormat="1" x14ac:dyDescent="0.3"/>
    <row r="296" s="1" customFormat="1" x14ac:dyDescent="0.3"/>
    <row r="297" s="1" customFormat="1" x14ac:dyDescent="0.3"/>
    <row r="298" s="1" customFormat="1" x14ac:dyDescent="0.3"/>
    <row r="299" s="1" customFormat="1" x14ac:dyDescent="0.3"/>
    <row r="300" s="1" customFormat="1" x14ac:dyDescent="0.3"/>
    <row r="301" s="1" customFormat="1" x14ac:dyDescent="0.3"/>
    <row r="302" s="1" customFormat="1" x14ac:dyDescent="0.3"/>
    <row r="303" s="1" customFormat="1" x14ac:dyDescent="0.3"/>
    <row r="304" s="1" customFormat="1" x14ac:dyDescent="0.3"/>
    <row r="305" s="1" customFormat="1" x14ac:dyDescent="0.3"/>
    <row r="306" s="1" customFormat="1" x14ac:dyDescent="0.3"/>
    <row r="307" s="1" customFormat="1" x14ac:dyDescent="0.3"/>
    <row r="308" s="1" customFormat="1" x14ac:dyDescent="0.3"/>
    <row r="309" s="1" customFormat="1" x14ac:dyDescent="0.3"/>
    <row r="310" s="1" customFormat="1" x14ac:dyDescent="0.3"/>
    <row r="311" s="1" customFormat="1" x14ac:dyDescent="0.3"/>
    <row r="312" s="1" customFormat="1" x14ac:dyDescent="0.3"/>
    <row r="313" s="1" customFormat="1" x14ac:dyDescent="0.3"/>
    <row r="314" s="1" customFormat="1" x14ac:dyDescent="0.3"/>
    <row r="315" s="1" customFormat="1" x14ac:dyDescent="0.3"/>
    <row r="316" s="1" customFormat="1" x14ac:dyDescent="0.3"/>
    <row r="317" s="1" customFormat="1" x14ac:dyDescent="0.3"/>
    <row r="318" s="1" customFormat="1" x14ac:dyDescent="0.3"/>
    <row r="319" s="1" customFormat="1" x14ac:dyDescent="0.3"/>
    <row r="320" s="1" customFormat="1" x14ac:dyDescent="0.3"/>
    <row r="321" s="1" customFormat="1" x14ac:dyDescent="0.3"/>
    <row r="322" s="1" customFormat="1" x14ac:dyDescent="0.3"/>
    <row r="323" s="1" customFormat="1" x14ac:dyDescent="0.3"/>
    <row r="324" s="1" customFormat="1" x14ac:dyDescent="0.3"/>
    <row r="325" s="1" customFormat="1" x14ac:dyDescent="0.3"/>
    <row r="326" s="1" customFormat="1" x14ac:dyDescent="0.3"/>
    <row r="327" s="1" customFormat="1" x14ac:dyDescent="0.3"/>
    <row r="328" s="1" customFormat="1" x14ac:dyDescent="0.3"/>
    <row r="329" s="1" customFormat="1" x14ac:dyDescent="0.3"/>
    <row r="330" s="1" customFormat="1" x14ac:dyDescent="0.3"/>
    <row r="331" s="1" customFormat="1" x14ac:dyDescent="0.3"/>
    <row r="332" s="1" customFormat="1" x14ac:dyDescent="0.3"/>
    <row r="333" s="1" customFormat="1" x14ac:dyDescent="0.3"/>
    <row r="334" s="1" customFormat="1" x14ac:dyDescent="0.3"/>
    <row r="335" s="1" customFormat="1" x14ac:dyDescent="0.3"/>
    <row r="336" s="1" customFormat="1" x14ac:dyDescent="0.3"/>
    <row r="337" s="1" customFormat="1" x14ac:dyDescent="0.3"/>
    <row r="338" s="1" customFormat="1" x14ac:dyDescent="0.3"/>
    <row r="339" s="1" customFormat="1" x14ac:dyDescent="0.3"/>
  </sheetData>
  <mergeCells count="6">
    <mergeCell ref="H6:L6"/>
    <mergeCell ref="I2:K2"/>
    <mergeCell ref="C1:E1"/>
    <mergeCell ref="G3:L3"/>
    <mergeCell ref="H4:L4"/>
    <mergeCell ref="H5:L5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CBE8C-CF23-4886-A166-AD1291BD4C17}">
  <sheetPr codeName="Sheet7"/>
  <dimension ref="A1:F242"/>
  <sheetViews>
    <sheetView workbookViewId="0">
      <selection activeCell="B9" sqref="B9"/>
    </sheetView>
  </sheetViews>
  <sheetFormatPr defaultColWidth="11.5546875" defaultRowHeight="14.4" x14ac:dyDescent="0.3"/>
  <cols>
    <col min="2" max="2" width="62.109375" bestFit="1" customWidth="1"/>
    <col min="4" max="4" width="48.33203125" bestFit="1" customWidth="1"/>
    <col min="5" max="5" width="18" bestFit="1" customWidth="1"/>
  </cols>
  <sheetData>
    <row r="1" spans="1:6" x14ac:dyDescent="0.3">
      <c r="B1" s="108" t="s">
        <v>234</v>
      </c>
      <c r="D1" s="108" t="s">
        <v>225</v>
      </c>
    </row>
    <row r="2" spans="1:6" x14ac:dyDescent="0.3">
      <c r="A2" s="24" t="s">
        <v>39</v>
      </c>
      <c r="B2" s="109" t="s">
        <v>35</v>
      </c>
      <c r="C2" s="24" t="s">
        <v>39</v>
      </c>
      <c r="D2" s="109" t="s">
        <v>23</v>
      </c>
      <c r="E2" s="24"/>
    </row>
    <row r="3" spans="1:6" x14ac:dyDescent="0.3">
      <c r="A3" s="15" t="s">
        <v>44</v>
      </c>
      <c r="B3" s="82">
        <v>0.1</v>
      </c>
      <c r="C3" s="15" t="s">
        <v>44</v>
      </c>
      <c r="D3" s="82">
        <v>0.08</v>
      </c>
      <c r="E3" s="111" t="s">
        <v>314</v>
      </c>
      <c r="F3" s="111" t="s">
        <v>315</v>
      </c>
    </row>
    <row r="4" spans="1:6" x14ac:dyDescent="0.3">
      <c r="A4" s="15" t="s">
        <v>48</v>
      </c>
      <c r="B4" s="82">
        <v>0.1</v>
      </c>
      <c r="C4" s="15" t="s">
        <v>48</v>
      </c>
      <c r="D4" s="82">
        <v>0.08</v>
      </c>
      <c r="E4" s="112"/>
      <c r="F4" s="112"/>
    </row>
    <row r="5" spans="1:6" x14ac:dyDescent="0.3">
      <c r="A5" s="15" t="s">
        <v>49</v>
      </c>
      <c r="B5" s="82">
        <v>0.1</v>
      </c>
      <c r="C5" s="15" t="s">
        <v>49</v>
      </c>
      <c r="D5" s="82">
        <v>0.08</v>
      </c>
      <c r="E5" s="112"/>
      <c r="F5" s="112"/>
    </row>
    <row r="6" spans="1:6" x14ac:dyDescent="0.3">
      <c r="A6" s="15" t="s">
        <v>50</v>
      </c>
      <c r="B6" s="82">
        <v>0.1</v>
      </c>
      <c r="C6" s="15" t="s">
        <v>50</v>
      </c>
      <c r="D6" s="82">
        <v>0.08</v>
      </c>
      <c r="E6" s="112"/>
      <c r="F6" s="112"/>
    </row>
    <row r="7" spans="1:6" x14ac:dyDescent="0.3">
      <c r="A7" s="15" t="s">
        <v>51</v>
      </c>
      <c r="B7" s="82">
        <v>0.1</v>
      </c>
      <c r="C7" s="15" t="s">
        <v>51</v>
      </c>
      <c r="D7" s="82">
        <v>0.08</v>
      </c>
      <c r="E7" s="112"/>
      <c r="F7" s="112"/>
    </row>
    <row r="8" spans="1:6" x14ac:dyDescent="0.3">
      <c r="A8" s="15" t="s">
        <v>52</v>
      </c>
      <c r="B8" s="82">
        <v>0.1</v>
      </c>
      <c r="C8" s="15" t="s">
        <v>52</v>
      </c>
      <c r="D8" s="82">
        <v>0.08</v>
      </c>
      <c r="E8" s="112"/>
      <c r="F8" s="113"/>
    </row>
    <row r="9" spans="1:6" x14ac:dyDescent="0.3">
      <c r="A9" s="15" t="s">
        <v>53</v>
      </c>
      <c r="B9" s="110">
        <v>0.15</v>
      </c>
      <c r="C9" s="15" t="s">
        <v>53</v>
      </c>
      <c r="D9" s="110">
        <v>0.13</v>
      </c>
      <c r="E9" s="112"/>
      <c r="F9" s="111" t="s">
        <v>316</v>
      </c>
    </row>
    <row r="10" spans="1:6" x14ac:dyDescent="0.3">
      <c r="A10" s="15" t="s">
        <v>54</v>
      </c>
      <c r="B10" s="110">
        <v>0.15</v>
      </c>
      <c r="C10" s="15" t="s">
        <v>54</v>
      </c>
      <c r="D10" s="110">
        <v>0.13</v>
      </c>
      <c r="E10" s="112"/>
      <c r="F10" s="112"/>
    </row>
    <row r="11" spans="1:6" x14ac:dyDescent="0.3">
      <c r="A11" s="15" t="s">
        <v>55</v>
      </c>
      <c r="B11" s="110">
        <v>0.15</v>
      </c>
      <c r="C11" s="15" t="s">
        <v>55</v>
      </c>
      <c r="D11" s="110">
        <v>0.13</v>
      </c>
      <c r="E11" s="112"/>
      <c r="F11" s="112"/>
    </row>
    <row r="12" spans="1:6" x14ac:dyDescent="0.3">
      <c r="A12" s="15" t="s">
        <v>56</v>
      </c>
      <c r="B12" s="110">
        <v>0.15</v>
      </c>
      <c r="C12" s="15" t="s">
        <v>56</v>
      </c>
      <c r="D12" s="110">
        <v>0.13</v>
      </c>
      <c r="E12" s="112"/>
      <c r="F12" s="112"/>
    </row>
    <row r="13" spans="1:6" x14ac:dyDescent="0.3">
      <c r="A13" s="15" t="s">
        <v>57</v>
      </c>
      <c r="B13" s="110">
        <v>0.15</v>
      </c>
      <c r="C13" s="15" t="s">
        <v>57</v>
      </c>
      <c r="D13" s="110">
        <v>0.13</v>
      </c>
      <c r="E13" s="112"/>
      <c r="F13" s="112"/>
    </row>
    <row r="14" spans="1:6" x14ac:dyDescent="0.3">
      <c r="A14" s="15" t="s">
        <v>58</v>
      </c>
      <c r="B14" s="110">
        <v>0.15</v>
      </c>
      <c r="C14" s="15" t="s">
        <v>58</v>
      </c>
      <c r="D14" s="110">
        <v>0.13</v>
      </c>
      <c r="E14" s="112"/>
      <c r="F14" s="113"/>
    </row>
    <row r="15" spans="1:6" x14ac:dyDescent="0.3">
      <c r="A15" s="15" t="s">
        <v>59</v>
      </c>
      <c r="B15" s="110">
        <v>0.15</v>
      </c>
      <c r="C15" s="15" t="s">
        <v>59</v>
      </c>
      <c r="D15" s="110">
        <v>0.13</v>
      </c>
      <c r="E15" s="112"/>
      <c r="F15" s="111" t="s">
        <v>317</v>
      </c>
    </row>
    <row r="16" spans="1:6" x14ac:dyDescent="0.3">
      <c r="A16" s="15" t="s">
        <v>60</v>
      </c>
      <c r="B16" s="110">
        <v>0.15</v>
      </c>
      <c r="C16" s="15" t="s">
        <v>60</v>
      </c>
      <c r="D16" s="110">
        <v>0.13</v>
      </c>
      <c r="E16" s="112"/>
      <c r="F16" s="112"/>
    </row>
    <row r="17" spans="1:6" x14ac:dyDescent="0.3">
      <c r="A17" s="15" t="s">
        <v>61</v>
      </c>
      <c r="B17" s="110">
        <v>0.15</v>
      </c>
      <c r="C17" s="15" t="s">
        <v>61</v>
      </c>
      <c r="D17" s="110">
        <v>0.13</v>
      </c>
      <c r="E17" s="112"/>
      <c r="F17" s="112"/>
    </row>
    <row r="18" spans="1:6" x14ac:dyDescent="0.3">
      <c r="A18" s="15" t="s">
        <v>62</v>
      </c>
      <c r="B18" s="110">
        <v>0.15</v>
      </c>
      <c r="C18" s="15" t="s">
        <v>62</v>
      </c>
      <c r="D18" s="110">
        <v>0.13</v>
      </c>
      <c r="E18" s="112"/>
      <c r="F18" s="112"/>
    </row>
    <row r="19" spans="1:6" x14ac:dyDescent="0.3">
      <c r="A19" s="15" t="s">
        <v>63</v>
      </c>
      <c r="B19" s="110">
        <v>0.15</v>
      </c>
      <c r="C19" s="15" t="s">
        <v>63</v>
      </c>
      <c r="D19" s="110">
        <v>0.13</v>
      </c>
      <c r="E19" s="112"/>
      <c r="F19" s="112"/>
    </row>
    <row r="20" spans="1:6" x14ac:dyDescent="0.3">
      <c r="A20" s="15" t="s">
        <v>64</v>
      </c>
      <c r="B20" s="110">
        <v>0.15</v>
      </c>
      <c r="C20" s="15" t="s">
        <v>64</v>
      </c>
      <c r="D20" s="110">
        <v>0.13</v>
      </c>
      <c r="E20" s="112"/>
      <c r="F20" s="113"/>
    </row>
    <row r="21" spans="1:6" x14ac:dyDescent="0.3">
      <c r="A21" s="15" t="s">
        <v>65</v>
      </c>
      <c r="B21" s="110">
        <v>0.15</v>
      </c>
      <c r="C21" s="15" t="s">
        <v>65</v>
      </c>
      <c r="D21" s="110">
        <v>0.13</v>
      </c>
      <c r="E21" s="112"/>
      <c r="F21" s="111" t="s">
        <v>318</v>
      </c>
    </row>
    <row r="22" spans="1:6" x14ac:dyDescent="0.3">
      <c r="A22" s="15" t="s">
        <v>66</v>
      </c>
      <c r="B22" s="110">
        <v>0.15</v>
      </c>
      <c r="C22" s="15" t="s">
        <v>66</v>
      </c>
      <c r="D22" s="110">
        <v>0.13</v>
      </c>
      <c r="E22" s="112"/>
      <c r="F22" s="112"/>
    </row>
    <row r="23" spans="1:6" x14ac:dyDescent="0.3">
      <c r="A23" s="15" t="s">
        <v>67</v>
      </c>
      <c r="B23" s="110">
        <v>0.15</v>
      </c>
      <c r="C23" s="15" t="s">
        <v>67</v>
      </c>
      <c r="D23" s="110">
        <v>0.13</v>
      </c>
      <c r="E23" s="112"/>
      <c r="F23" s="112"/>
    </row>
    <row r="24" spans="1:6" x14ac:dyDescent="0.3">
      <c r="A24" s="15" t="s">
        <v>68</v>
      </c>
      <c r="B24" s="110">
        <v>0.15</v>
      </c>
      <c r="C24" s="15" t="s">
        <v>68</v>
      </c>
      <c r="D24" s="110">
        <v>0.13</v>
      </c>
      <c r="E24" s="112"/>
      <c r="F24" s="112"/>
    </row>
    <row r="25" spans="1:6" x14ac:dyDescent="0.3">
      <c r="A25" s="15" t="s">
        <v>69</v>
      </c>
      <c r="B25" s="82">
        <v>0.1</v>
      </c>
      <c r="C25" s="15" t="s">
        <v>69</v>
      </c>
      <c r="D25" s="82">
        <v>0.08</v>
      </c>
      <c r="E25" s="112"/>
      <c r="F25" s="112"/>
    </row>
    <row r="26" spans="1:6" x14ac:dyDescent="0.3">
      <c r="A26" s="15" t="s">
        <v>70</v>
      </c>
      <c r="B26" s="82">
        <v>0.1</v>
      </c>
      <c r="C26" s="15" t="s">
        <v>70</v>
      </c>
      <c r="D26" s="82">
        <v>0.08</v>
      </c>
      <c r="E26" s="113"/>
      <c r="F26" s="113"/>
    </row>
    <row r="27" spans="1:6" x14ac:dyDescent="0.3">
      <c r="A27" s="15" t="s">
        <v>71</v>
      </c>
      <c r="B27" s="82">
        <v>0.1</v>
      </c>
      <c r="C27" s="15" t="s">
        <v>71</v>
      </c>
      <c r="D27" s="82">
        <v>0.08</v>
      </c>
      <c r="E27" s="111" t="s">
        <v>319</v>
      </c>
      <c r="F27" s="111" t="s">
        <v>315</v>
      </c>
    </row>
    <row r="28" spans="1:6" x14ac:dyDescent="0.3">
      <c r="A28" s="15" t="s">
        <v>72</v>
      </c>
      <c r="B28" s="82">
        <v>0.1</v>
      </c>
      <c r="C28" s="15" t="s">
        <v>72</v>
      </c>
      <c r="D28" s="82">
        <v>0.08</v>
      </c>
      <c r="E28" s="112"/>
      <c r="F28" s="112"/>
    </row>
    <row r="29" spans="1:6" x14ac:dyDescent="0.3">
      <c r="A29" s="15" t="s">
        <v>73</v>
      </c>
      <c r="B29" s="82">
        <v>0.1</v>
      </c>
      <c r="C29" s="15" t="s">
        <v>73</v>
      </c>
      <c r="D29" s="82">
        <v>0.08</v>
      </c>
      <c r="E29" s="112"/>
      <c r="F29" s="112"/>
    </row>
    <row r="30" spans="1:6" x14ac:dyDescent="0.3">
      <c r="A30" s="15" t="s">
        <v>74</v>
      </c>
      <c r="B30" s="82">
        <v>0.1</v>
      </c>
      <c r="C30" s="15" t="s">
        <v>74</v>
      </c>
      <c r="D30" s="82">
        <v>0.08</v>
      </c>
      <c r="E30" s="112"/>
      <c r="F30" s="112"/>
    </row>
    <row r="31" spans="1:6" x14ac:dyDescent="0.3">
      <c r="A31" s="15" t="s">
        <v>75</v>
      </c>
      <c r="B31" s="82">
        <v>0.1</v>
      </c>
      <c r="C31" s="15" t="s">
        <v>75</v>
      </c>
      <c r="D31" s="82">
        <v>0.08</v>
      </c>
      <c r="E31" s="112"/>
      <c r="F31" s="112"/>
    </row>
    <row r="32" spans="1:6" x14ac:dyDescent="0.3">
      <c r="A32" s="15" t="s">
        <v>76</v>
      </c>
      <c r="B32" s="82">
        <v>0.1</v>
      </c>
      <c r="C32" s="15" t="s">
        <v>76</v>
      </c>
      <c r="D32" s="82">
        <v>0.08</v>
      </c>
      <c r="E32" s="112"/>
      <c r="F32" s="113"/>
    </row>
    <row r="33" spans="1:6" x14ac:dyDescent="0.3">
      <c r="A33" s="15" t="s">
        <v>77</v>
      </c>
      <c r="B33" s="110">
        <v>0.15</v>
      </c>
      <c r="C33" s="15" t="s">
        <v>77</v>
      </c>
      <c r="D33" s="110">
        <v>0.13</v>
      </c>
      <c r="E33" s="112"/>
      <c r="F33" s="111" t="s">
        <v>316</v>
      </c>
    </row>
    <row r="34" spans="1:6" x14ac:dyDescent="0.3">
      <c r="A34" s="15" t="s">
        <v>78</v>
      </c>
      <c r="B34" s="110">
        <v>0.15</v>
      </c>
      <c r="C34" s="15" t="s">
        <v>78</v>
      </c>
      <c r="D34" s="110">
        <v>0.13</v>
      </c>
      <c r="E34" s="112"/>
      <c r="F34" s="112"/>
    </row>
    <row r="35" spans="1:6" x14ac:dyDescent="0.3">
      <c r="A35" s="15" t="s">
        <v>79</v>
      </c>
      <c r="B35" s="110">
        <v>0.15</v>
      </c>
      <c r="C35" s="15" t="s">
        <v>79</v>
      </c>
      <c r="D35" s="110">
        <v>0.13</v>
      </c>
      <c r="E35" s="112"/>
      <c r="F35" s="112"/>
    </row>
    <row r="36" spans="1:6" x14ac:dyDescent="0.3">
      <c r="A36" s="15" t="s">
        <v>80</v>
      </c>
      <c r="B36" s="110">
        <v>0.15</v>
      </c>
      <c r="C36" s="15" t="s">
        <v>80</v>
      </c>
      <c r="D36" s="110">
        <v>0.13</v>
      </c>
      <c r="E36" s="112"/>
      <c r="F36" s="112"/>
    </row>
    <row r="37" spans="1:6" x14ac:dyDescent="0.3">
      <c r="A37" s="15" t="s">
        <v>81</v>
      </c>
      <c r="B37" s="110">
        <v>0.15</v>
      </c>
      <c r="C37" s="15" t="s">
        <v>81</v>
      </c>
      <c r="D37" s="110">
        <v>0.13</v>
      </c>
      <c r="E37" s="112"/>
      <c r="F37" s="112"/>
    </row>
    <row r="38" spans="1:6" x14ac:dyDescent="0.3">
      <c r="A38" s="15" t="s">
        <v>82</v>
      </c>
      <c r="B38" s="110">
        <v>0.15</v>
      </c>
      <c r="C38" s="15" t="s">
        <v>82</v>
      </c>
      <c r="D38" s="110">
        <v>0.13</v>
      </c>
      <c r="E38" s="112"/>
      <c r="F38" s="113"/>
    </row>
    <row r="39" spans="1:6" x14ac:dyDescent="0.3">
      <c r="A39" s="15" t="s">
        <v>83</v>
      </c>
      <c r="B39" s="110">
        <v>0.15</v>
      </c>
      <c r="C39" s="15" t="s">
        <v>83</v>
      </c>
      <c r="D39" s="110">
        <v>0.13</v>
      </c>
      <c r="E39" s="112"/>
      <c r="F39" s="111" t="s">
        <v>317</v>
      </c>
    </row>
    <row r="40" spans="1:6" x14ac:dyDescent="0.3">
      <c r="A40" s="15" t="s">
        <v>84</v>
      </c>
      <c r="B40" s="110">
        <v>0.15</v>
      </c>
      <c r="C40" s="15" t="s">
        <v>84</v>
      </c>
      <c r="D40" s="110">
        <v>0.13</v>
      </c>
      <c r="E40" s="112"/>
      <c r="F40" s="112"/>
    </row>
    <row r="41" spans="1:6" x14ac:dyDescent="0.3">
      <c r="A41" s="15" t="s">
        <v>85</v>
      </c>
      <c r="B41" s="110">
        <v>0.15</v>
      </c>
      <c r="C41" s="15" t="s">
        <v>85</v>
      </c>
      <c r="D41" s="110">
        <v>0.13</v>
      </c>
      <c r="E41" s="112"/>
      <c r="F41" s="112"/>
    </row>
    <row r="42" spans="1:6" x14ac:dyDescent="0.3">
      <c r="A42" s="15" t="s">
        <v>86</v>
      </c>
      <c r="B42" s="110">
        <v>0.15</v>
      </c>
      <c r="C42" s="15" t="s">
        <v>86</v>
      </c>
      <c r="D42" s="110">
        <v>0.13</v>
      </c>
      <c r="E42" s="112"/>
      <c r="F42" s="112"/>
    </row>
    <row r="43" spans="1:6" x14ac:dyDescent="0.3">
      <c r="A43" s="15" t="s">
        <v>87</v>
      </c>
      <c r="B43" s="110">
        <v>0.15</v>
      </c>
      <c r="C43" s="15" t="s">
        <v>87</v>
      </c>
      <c r="D43" s="110">
        <v>0.13</v>
      </c>
      <c r="E43" s="112"/>
      <c r="F43" s="112"/>
    </row>
    <row r="44" spans="1:6" x14ac:dyDescent="0.3">
      <c r="A44" s="15" t="s">
        <v>88</v>
      </c>
      <c r="B44" s="110">
        <v>0.15</v>
      </c>
      <c r="C44" s="15" t="s">
        <v>88</v>
      </c>
      <c r="D44" s="110">
        <v>0.13</v>
      </c>
      <c r="E44" s="112"/>
      <c r="F44" s="113"/>
    </row>
    <row r="45" spans="1:6" x14ac:dyDescent="0.3">
      <c r="A45" s="15" t="s">
        <v>89</v>
      </c>
      <c r="B45" s="110">
        <v>0.15</v>
      </c>
      <c r="C45" s="15" t="s">
        <v>89</v>
      </c>
      <c r="D45" s="110">
        <v>0.13</v>
      </c>
      <c r="E45" s="112"/>
      <c r="F45" s="111" t="s">
        <v>318</v>
      </c>
    </row>
    <row r="46" spans="1:6" x14ac:dyDescent="0.3">
      <c r="A46" s="15" t="s">
        <v>90</v>
      </c>
      <c r="B46" s="110">
        <v>0.15</v>
      </c>
      <c r="C46" s="15" t="s">
        <v>90</v>
      </c>
      <c r="D46" s="110">
        <v>0.13</v>
      </c>
      <c r="E46" s="112"/>
      <c r="F46" s="112"/>
    </row>
    <row r="47" spans="1:6" x14ac:dyDescent="0.3">
      <c r="A47" s="15" t="s">
        <v>91</v>
      </c>
      <c r="B47" s="110">
        <v>0.15</v>
      </c>
      <c r="C47" s="15" t="s">
        <v>91</v>
      </c>
      <c r="D47" s="110">
        <v>0.13</v>
      </c>
      <c r="E47" s="112"/>
      <c r="F47" s="112"/>
    </row>
    <row r="48" spans="1:6" x14ac:dyDescent="0.3">
      <c r="A48" s="15" t="s">
        <v>92</v>
      </c>
      <c r="B48" s="110">
        <v>0.15</v>
      </c>
      <c r="C48" s="15" t="s">
        <v>92</v>
      </c>
      <c r="D48" s="110">
        <v>0.13</v>
      </c>
      <c r="E48" s="112"/>
      <c r="F48" s="112"/>
    </row>
    <row r="49" spans="1:6" x14ac:dyDescent="0.3">
      <c r="A49" s="15" t="s">
        <v>93</v>
      </c>
      <c r="B49" s="82">
        <v>0.1</v>
      </c>
      <c r="C49" s="15" t="s">
        <v>93</v>
      </c>
      <c r="D49" s="82">
        <v>0.08</v>
      </c>
      <c r="E49" s="112"/>
      <c r="F49" s="112"/>
    </row>
    <row r="50" spans="1:6" x14ac:dyDescent="0.3">
      <c r="A50" s="15" t="s">
        <v>94</v>
      </c>
      <c r="B50" s="82">
        <v>0.1</v>
      </c>
      <c r="C50" s="15" t="s">
        <v>94</v>
      </c>
      <c r="D50" s="82">
        <v>0.08</v>
      </c>
      <c r="E50" s="113"/>
      <c r="F50" s="113"/>
    </row>
    <row r="51" spans="1:6" x14ac:dyDescent="0.3">
      <c r="A51" s="15" t="s">
        <v>95</v>
      </c>
      <c r="B51" s="82">
        <v>0.1</v>
      </c>
      <c r="C51" s="15" t="s">
        <v>95</v>
      </c>
      <c r="D51" s="82">
        <v>0.08</v>
      </c>
      <c r="E51" s="111" t="s">
        <v>320</v>
      </c>
      <c r="F51" s="111" t="s">
        <v>315</v>
      </c>
    </row>
    <row r="52" spans="1:6" x14ac:dyDescent="0.3">
      <c r="A52" s="15" t="s">
        <v>96</v>
      </c>
      <c r="B52" s="82">
        <v>0.1</v>
      </c>
      <c r="C52" s="15" t="s">
        <v>96</v>
      </c>
      <c r="D52" s="82">
        <v>0.08</v>
      </c>
      <c r="E52" s="112"/>
      <c r="F52" s="112"/>
    </row>
    <row r="53" spans="1:6" x14ac:dyDescent="0.3">
      <c r="A53" s="15" t="s">
        <v>97</v>
      </c>
      <c r="B53" s="82">
        <v>0.1</v>
      </c>
      <c r="C53" s="15" t="s">
        <v>97</v>
      </c>
      <c r="D53" s="82">
        <v>0.08</v>
      </c>
      <c r="E53" s="112"/>
      <c r="F53" s="112"/>
    </row>
    <row r="54" spans="1:6" x14ac:dyDescent="0.3">
      <c r="A54" s="15" t="s">
        <v>98</v>
      </c>
      <c r="B54" s="82">
        <v>0.1</v>
      </c>
      <c r="C54" s="15" t="s">
        <v>98</v>
      </c>
      <c r="D54" s="82">
        <v>0.08</v>
      </c>
      <c r="E54" s="112"/>
      <c r="F54" s="112"/>
    </row>
    <row r="55" spans="1:6" x14ac:dyDescent="0.3">
      <c r="A55" s="15" t="s">
        <v>99</v>
      </c>
      <c r="B55" s="82">
        <v>0.1</v>
      </c>
      <c r="C55" s="15" t="s">
        <v>99</v>
      </c>
      <c r="D55" s="82">
        <v>0.08</v>
      </c>
      <c r="E55" s="112"/>
      <c r="F55" s="112"/>
    </row>
    <row r="56" spans="1:6" x14ac:dyDescent="0.3">
      <c r="A56" s="15" t="s">
        <v>100</v>
      </c>
      <c r="B56" s="82">
        <v>0.1</v>
      </c>
      <c r="C56" s="15" t="s">
        <v>100</v>
      </c>
      <c r="D56" s="82">
        <v>0.08</v>
      </c>
      <c r="E56" s="112"/>
      <c r="F56" s="113"/>
    </row>
    <row r="57" spans="1:6" x14ac:dyDescent="0.3">
      <c r="A57" s="15" t="s">
        <v>101</v>
      </c>
      <c r="B57" s="110">
        <v>0.15</v>
      </c>
      <c r="C57" s="15" t="s">
        <v>101</v>
      </c>
      <c r="D57" s="110">
        <v>0.13</v>
      </c>
      <c r="E57" s="112"/>
      <c r="F57" s="111" t="s">
        <v>316</v>
      </c>
    </row>
    <row r="58" spans="1:6" x14ac:dyDescent="0.3">
      <c r="A58" s="15" t="s">
        <v>102</v>
      </c>
      <c r="B58" s="110">
        <v>0.15</v>
      </c>
      <c r="C58" s="15" t="s">
        <v>102</v>
      </c>
      <c r="D58" s="110">
        <v>0.13</v>
      </c>
      <c r="E58" s="112"/>
      <c r="F58" s="112"/>
    </row>
    <row r="59" spans="1:6" x14ac:dyDescent="0.3">
      <c r="A59" s="15" t="s">
        <v>103</v>
      </c>
      <c r="B59" s="110">
        <v>0.15</v>
      </c>
      <c r="C59" s="15" t="s">
        <v>103</v>
      </c>
      <c r="D59" s="110">
        <v>0.13</v>
      </c>
      <c r="E59" s="112"/>
      <c r="F59" s="112"/>
    </row>
    <row r="60" spans="1:6" x14ac:dyDescent="0.3">
      <c r="A60" s="15" t="s">
        <v>104</v>
      </c>
      <c r="B60" s="110">
        <v>0.15</v>
      </c>
      <c r="C60" s="15" t="s">
        <v>104</v>
      </c>
      <c r="D60" s="110">
        <v>0.13</v>
      </c>
      <c r="E60" s="112"/>
      <c r="F60" s="112"/>
    </row>
    <row r="61" spans="1:6" x14ac:dyDescent="0.3">
      <c r="A61" s="15" t="s">
        <v>105</v>
      </c>
      <c r="B61" s="110">
        <v>0.15</v>
      </c>
      <c r="C61" s="15" t="s">
        <v>105</v>
      </c>
      <c r="D61" s="110">
        <v>0.13</v>
      </c>
      <c r="E61" s="112"/>
      <c r="F61" s="112"/>
    </row>
    <row r="62" spans="1:6" x14ac:dyDescent="0.3">
      <c r="A62" s="15" t="s">
        <v>106</v>
      </c>
      <c r="B62" s="110">
        <v>0.15</v>
      </c>
      <c r="C62" s="15" t="s">
        <v>106</v>
      </c>
      <c r="D62" s="110">
        <v>0.13</v>
      </c>
      <c r="E62" s="112"/>
      <c r="F62" s="113"/>
    </row>
    <row r="63" spans="1:6" x14ac:dyDescent="0.3">
      <c r="A63" s="15" t="s">
        <v>107</v>
      </c>
      <c r="B63" s="110">
        <v>0.15</v>
      </c>
      <c r="C63" s="15" t="s">
        <v>107</v>
      </c>
      <c r="D63" s="110">
        <v>0.13</v>
      </c>
      <c r="E63" s="112"/>
      <c r="F63" s="111" t="s">
        <v>317</v>
      </c>
    </row>
    <row r="64" spans="1:6" x14ac:dyDescent="0.3">
      <c r="A64" s="15" t="s">
        <v>108</v>
      </c>
      <c r="B64" s="110">
        <v>0.15</v>
      </c>
      <c r="C64" s="15" t="s">
        <v>108</v>
      </c>
      <c r="D64" s="110">
        <v>0.13</v>
      </c>
      <c r="E64" s="112"/>
      <c r="F64" s="112"/>
    </row>
    <row r="65" spans="1:6" x14ac:dyDescent="0.3">
      <c r="A65" s="15" t="s">
        <v>109</v>
      </c>
      <c r="B65" s="110">
        <v>0.15</v>
      </c>
      <c r="C65" s="15" t="s">
        <v>109</v>
      </c>
      <c r="D65" s="110">
        <v>0.13</v>
      </c>
      <c r="E65" s="112"/>
      <c r="F65" s="112"/>
    </row>
    <row r="66" spans="1:6" x14ac:dyDescent="0.3">
      <c r="A66" s="15" t="s">
        <v>110</v>
      </c>
      <c r="B66" s="110">
        <v>0.15</v>
      </c>
      <c r="C66" s="15" t="s">
        <v>110</v>
      </c>
      <c r="D66" s="110">
        <v>0.13</v>
      </c>
      <c r="E66" s="112"/>
      <c r="F66" s="112"/>
    </row>
    <row r="67" spans="1:6" x14ac:dyDescent="0.3">
      <c r="A67" s="15" t="s">
        <v>111</v>
      </c>
      <c r="B67" s="110">
        <v>0.15</v>
      </c>
      <c r="C67" s="15" t="s">
        <v>111</v>
      </c>
      <c r="D67" s="110">
        <v>0.13</v>
      </c>
      <c r="E67" s="112"/>
      <c r="F67" s="112"/>
    </row>
    <row r="68" spans="1:6" x14ac:dyDescent="0.3">
      <c r="A68" s="15" t="s">
        <v>112</v>
      </c>
      <c r="B68" s="110">
        <v>0.15</v>
      </c>
      <c r="C68" s="15" t="s">
        <v>112</v>
      </c>
      <c r="D68" s="110">
        <v>0.13</v>
      </c>
      <c r="E68" s="112"/>
      <c r="F68" s="113"/>
    </row>
    <row r="69" spans="1:6" x14ac:dyDescent="0.3">
      <c r="A69" s="15" t="s">
        <v>113</v>
      </c>
      <c r="B69" s="110">
        <v>0.15</v>
      </c>
      <c r="C69" s="15" t="s">
        <v>113</v>
      </c>
      <c r="D69" s="110">
        <v>0.13</v>
      </c>
      <c r="E69" s="112"/>
      <c r="F69" s="111" t="s">
        <v>318</v>
      </c>
    </row>
    <row r="70" spans="1:6" x14ac:dyDescent="0.3">
      <c r="A70" s="15" t="s">
        <v>114</v>
      </c>
      <c r="B70" s="110">
        <v>0.15</v>
      </c>
      <c r="C70" s="15" t="s">
        <v>114</v>
      </c>
      <c r="D70" s="110">
        <v>0.13</v>
      </c>
      <c r="E70" s="112"/>
      <c r="F70" s="112"/>
    </row>
    <row r="71" spans="1:6" x14ac:dyDescent="0.3">
      <c r="A71" s="15" t="s">
        <v>115</v>
      </c>
      <c r="B71" s="110">
        <v>0.15</v>
      </c>
      <c r="C71" s="15" t="s">
        <v>115</v>
      </c>
      <c r="D71" s="110">
        <v>0.13</v>
      </c>
      <c r="E71" s="112"/>
      <c r="F71" s="112"/>
    </row>
    <row r="72" spans="1:6" x14ac:dyDescent="0.3">
      <c r="A72" s="15" t="s">
        <v>116</v>
      </c>
      <c r="B72" s="110">
        <v>0.15</v>
      </c>
      <c r="C72" s="15" t="s">
        <v>116</v>
      </c>
      <c r="D72" s="110">
        <v>0.13</v>
      </c>
      <c r="E72" s="112"/>
      <c r="F72" s="112"/>
    </row>
    <row r="73" spans="1:6" x14ac:dyDescent="0.3">
      <c r="A73" s="15" t="s">
        <v>117</v>
      </c>
      <c r="B73" s="82">
        <v>0.1</v>
      </c>
      <c r="C73" s="15" t="s">
        <v>117</v>
      </c>
      <c r="D73" s="82">
        <v>0.08</v>
      </c>
      <c r="E73" s="112"/>
      <c r="F73" s="112"/>
    </row>
    <row r="74" spans="1:6" x14ac:dyDescent="0.3">
      <c r="A74" s="15" t="s">
        <v>118</v>
      </c>
      <c r="B74" s="82">
        <v>0.1</v>
      </c>
      <c r="C74" s="15" t="s">
        <v>118</v>
      </c>
      <c r="D74" s="82">
        <v>0.08</v>
      </c>
      <c r="E74" s="113"/>
      <c r="F74" s="113"/>
    </row>
    <row r="75" spans="1:6" x14ac:dyDescent="0.3">
      <c r="A75" s="15" t="s">
        <v>119</v>
      </c>
      <c r="B75" s="82">
        <v>0.1</v>
      </c>
      <c r="C75" s="15" t="s">
        <v>119</v>
      </c>
      <c r="D75" s="82">
        <v>0.08</v>
      </c>
      <c r="E75" s="111" t="s">
        <v>321</v>
      </c>
      <c r="F75" s="111" t="s">
        <v>315</v>
      </c>
    </row>
    <row r="76" spans="1:6" x14ac:dyDescent="0.3">
      <c r="A76" s="15" t="s">
        <v>120</v>
      </c>
      <c r="B76" s="82">
        <v>0.1</v>
      </c>
      <c r="C76" s="15" t="s">
        <v>120</v>
      </c>
      <c r="D76" s="82">
        <v>0.08</v>
      </c>
      <c r="E76" s="112"/>
      <c r="F76" s="112"/>
    </row>
    <row r="77" spans="1:6" x14ac:dyDescent="0.3">
      <c r="A77" s="15" t="s">
        <v>121</v>
      </c>
      <c r="B77" s="82">
        <v>0.1</v>
      </c>
      <c r="C77" s="15" t="s">
        <v>121</v>
      </c>
      <c r="D77" s="82">
        <v>0.08</v>
      </c>
      <c r="E77" s="112"/>
      <c r="F77" s="112"/>
    </row>
    <row r="78" spans="1:6" x14ac:dyDescent="0.3">
      <c r="A78" s="15" t="s">
        <v>122</v>
      </c>
      <c r="B78" s="82">
        <v>0.1</v>
      </c>
      <c r="C78" s="15" t="s">
        <v>122</v>
      </c>
      <c r="D78" s="82">
        <v>0.08</v>
      </c>
      <c r="E78" s="112"/>
      <c r="F78" s="112"/>
    </row>
    <row r="79" spans="1:6" x14ac:dyDescent="0.3">
      <c r="A79" s="15" t="s">
        <v>123</v>
      </c>
      <c r="B79" s="82">
        <v>0.1</v>
      </c>
      <c r="C79" s="15" t="s">
        <v>123</v>
      </c>
      <c r="D79" s="82">
        <v>0.08</v>
      </c>
      <c r="E79" s="112"/>
      <c r="F79" s="112"/>
    </row>
    <row r="80" spans="1:6" x14ac:dyDescent="0.3">
      <c r="A80" s="15" t="s">
        <v>124</v>
      </c>
      <c r="B80" s="82">
        <v>0.1</v>
      </c>
      <c r="C80" s="15" t="s">
        <v>124</v>
      </c>
      <c r="D80" s="82">
        <v>0.08</v>
      </c>
      <c r="E80" s="112"/>
      <c r="F80" s="113"/>
    </row>
    <row r="81" spans="1:6" x14ac:dyDescent="0.3">
      <c r="A81" s="15" t="s">
        <v>125</v>
      </c>
      <c r="B81" s="110">
        <v>0.15</v>
      </c>
      <c r="C81" s="15" t="s">
        <v>125</v>
      </c>
      <c r="D81" s="110">
        <v>0.13</v>
      </c>
      <c r="E81" s="112"/>
      <c r="F81" s="111" t="s">
        <v>316</v>
      </c>
    </row>
    <row r="82" spans="1:6" x14ac:dyDescent="0.3">
      <c r="A82" s="15" t="s">
        <v>126</v>
      </c>
      <c r="B82" s="110">
        <v>0.15</v>
      </c>
      <c r="C82" s="15" t="s">
        <v>126</v>
      </c>
      <c r="D82" s="110">
        <v>0.13</v>
      </c>
      <c r="E82" s="112"/>
      <c r="F82" s="112"/>
    </row>
    <row r="83" spans="1:6" x14ac:dyDescent="0.3">
      <c r="A83" s="15" t="s">
        <v>127</v>
      </c>
      <c r="B83" s="110">
        <v>0.15</v>
      </c>
      <c r="C83" s="15" t="s">
        <v>127</v>
      </c>
      <c r="D83" s="110">
        <v>0.13</v>
      </c>
      <c r="E83" s="112"/>
      <c r="F83" s="112"/>
    </row>
    <row r="84" spans="1:6" x14ac:dyDescent="0.3">
      <c r="A84" s="15" t="s">
        <v>128</v>
      </c>
      <c r="B84" s="110">
        <v>0.15</v>
      </c>
      <c r="C84" s="15" t="s">
        <v>128</v>
      </c>
      <c r="D84" s="110">
        <v>0.13</v>
      </c>
      <c r="E84" s="112"/>
      <c r="F84" s="112"/>
    </row>
    <row r="85" spans="1:6" x14ac:dyDescent="0.3">
      <c r="A85" s="15" t="s">
        <v>129</v>
      </c>
      <c r="B85" s="110">
        <v>0.15</v>
      </c>
      <c r="C85" s="15" t="s">
        <v>129</v>
      </c>
      <c r="D85" s="110">
        <v>0.13</v>
      </c>
      <c r="E85" s="112"/>
      <c r="F85" s="112"/>
    </row>
    <row r="86" spans="1:6" x14ac:dyDescent="0.3">
      <c r="A86" s="15" t="s">
        <v>130</v>
      </c>
      <c r="B86" s="110">
        <v>0.15</v>
      </c>
      <c r="C86" s="15" t="s">
        <v>130</v>
      </c>
      <c r="D86" s="110">
        <v>0.13</v>
      </c>
      <c r="E86" s="112"/>
      <c r="F86" s="113"/>
    </row>
    <row r="87" spans="1:6" x14ac:dyDescent="0.3">
      <c r="A87" s="15" t="s">
        <v>131</v>
      </c>
      <c r="B87" s="110">
        <v>0.15</v>
      </c>
      <c r="C87" s="15" t="s">
        <v>131</v>
      </c>
      <c r="D87" s="110">
        <v>0.13</v>
      </c>
      <c r="E87" s="112"/>
      <c r="F87" s="111" t="s">
        <v>317</v>
      </c>
    </row>
    <row r="88" spans="1:6" x14ac:dyDescent="0.3">
      <c r="A88" s="15" t="s">
        <v>132</v>
      </c>
      <c r="B88" s="110">
        <v>0.15</v>
      </c>
      <c r="C88" s="15" t="s">
        <v>132</v>
      </c>
      <c r="D88" s="110">
        <v>0.13</v>
      </c>
      <c r="E88" s="112"/>
      <c r="F88" s="112"/>
    </row>
    <row r="89" spans="1:6" x14ac:dyDescent="0.3">
      <c r="A89" s="15" t="s">
        <v>133</v>
      </c>
      <c r="B89" s="110">
        <v>0.15</v>
      </c>
      <c r="C89" s="15" t="s">
        <v>133</v>
      </c>
      <c r="D89" s="110">
        <v>0.13</v>
      </c>
      <c r="E89" s="112"/>
      <c r="F89" s="112"/>
    </row>
    <row r="90" spans="1:6" x14ac:dyDescent="0.3">
      <c r="A90" s="15" t="s">
        <v>134</v>
      </c>
      <c r="B90" s="110">
        <v>0.15</v>
      </c>
      <c r="C90" s="15" t="s">
        <v>134</v>
      </c>
      <c r="D90" s="110">
        <v>0.13</v>
      </c>
      <c r="E90" s="112"/>
      <c r="F90" s="112"/>
    </row>
    <row r="91" spans="1:6" x14ac:dyDescent="0.3">
      <c r="A91" s="15" t="s">
        <v>135</v>
      </c>
      <c r="B91" s="110">
        <v>0.15</v>
      </c>
      <c r="C91" s="15" t="s">
        <v>135</v>
      </c>
      <c r="D91" s="110">
        <v>0.13</v>
      </c>
      <c r="E91" s="112"/>
      <c r="F91" s="112"/>
    </row>
    <row r="92" spans="1:6" x14ac:dyDescent="0.3">
      <c r="A92" s="15" t="s">
        <v>136</v>
      </c>
      <c r="B92" s="110">
        <v>0.15</v>
      </c>
      <c r="C92" s="15" t="s">
        <v>136</v>
      </c>
      <c r="D92" s="110">
        <v>0.13</v>
      </c>
      <c r="E92" s="112"/>
      <c r="F92" s="113"/>
    </row>
    <row r="93" spans="1:6" x14ac:dyDescent="0.3">
      <c r="A93" s="15" t="s">
        <v>137</v>
      </c>
      <c r="B93" s="110">
        <v>0.15</v>
      </c>
      <c r="C93" s="15" t="s">
        <v>137</v>
      </c>
      <c r="D93" s="110">
        <v>0.13</v>
      </c>
      <c r="E93" s="112"/>
      <c r="F93" s="111" t="s">
        <v>318</v>
      </c>
    </row>
    <row r="94" spans="1:6" x14ac:dyDescent="0.3">
      <c r="A94" s="15" t="s">
        <v>138</v>
      </c>
      <c r="B94" s="110">
        <v>0.15</v>
      </c>
      <c r="C94" s="15" t="s">
        <v>138</v>
      </c>
      <c r="D94" s="110">
        <v>0.13</v>
      </c>
      <c r="E94" s="112"/>
      <c r="F94" s="112"/>
    </row>
    <row r="95" spans="1:6" x14ac:dyDescent="0.3">
      <c r="A95" s="15" t="s">
        <v>139</v>
      </c>
      <c r="B95" s="110">
        <v>0.15</v>
      </c>
      <c r="C95" s="15" t="s">
        <v>139</v>
      </c>
      <c r="D95" s="110">
        <v>0.13</v>
      </c>
      <c r="E95" s="112"/>
      <c r="F95" s="112"/>
    </row>
    <row r="96" spans="1:6" x14ac:dyDescent="0.3">
      <c r="A96" s="15" t="s">
        <v>140</v>
      </c>
      <c r="B96" s="110">
        <v>0.15</v>
      </c>
      <c r="C96" s="15" t="s">
        <v>140</v>
      </c>
      <c r="D96" s="110">
        <v>0.13</v>
      </c>
      <c r="E96" s="112"/>
      <c r="F96" s="112"/>
    </row>
    <row r="97" spans="1:6" x14ac:dyDescent="0.3">
      <c r="A97" s="15" t="s">
        <v>141</v>
      </c>
      <c r="B97" s="82">
        <v>0.1</v>
      </c>
      <c r="C97" s="15" t="s">
        <v>141</v>
      </c>
      <c r="D97" s="82">
        <v>0.08</v>
      </c>
      <c r="E97" s="112"/>
      <c r="F97" s="112"/>
    </row>
    <row r="98" spans="1:6" x14ac:dyDescent="0.3">
      <c r="A98" s="15" t="s">
        <v>142</v>
      </c>
      <c r="B98" s="82">
        <v>0.1</v>
      </c>
      <c r="C98" s="15" t="s">
        <v>142</v>
      </c>
      <c r="D98" s="82">
        <v>0.08</v>
      </c>
      <c r="E98" s="113"/>
      <c r="F98" s="113"/>
    </row>
    <row r="99" spans="1:6" x14ac:dyDescent="0.3">
      <c r="A99" s="15" t="s">
        <v>143</v>
      </c>
      <c r="B99" s="82">
        <v>0.1</v>
      </c>
      <c r="C99" s="15" t="s">
        <v>143</v>
      </c>
      <c r="D99" s="82">
        <v>0.08</v>
      </c>
      <c r="E99" s="111" t="s">
        <v>322</v>
      </c>
      <c r="F99" s="111" t="s">
        <v>315</v>
      </c>
    </row>
    <row r="100" spans="1:6" x14ac:dyDescent="0.3">
      <c r="A100" s="15" t="s">
        <v>144</v>
      </c>
      <c r="B100" s="82">
        <v>0.1</v>
      </c>
      <c r="C100" s="15" t="s">
        <v>144</v>
      </c>
      <c r="D100" s="82">
        <v>0.08</v>
      </c>
      <c r="E100" s="112"/>
      <c r="F100" s="112"/>
    </row>
    <row r="101" spans="1:6" x14ac:dyDescent="0.3">
      <c r="A101" s="15" t="s">
        <v>145</v>
      </c>
      <c r="B101" s="82">
        <v>0.1</v>
      </c>
      <c r="C101" s="15" t="s">
        <v>145</v>
      </c>
      <c r="D101" s="82">
        <v>0.08</v>
      </c>
      <c r="E101" s="112"/>
      <c r="F101" s="112"/>
    </row>
    <row r="102" spans="1:6" x14ac:dyDescent="0.3">
      <c r="A102" s="15" t="s">
        <v>146</v>
      </c>
      <c r="B102" s="82">
        <v>0.1</v>
      </c>
      <c r="C102" s="15" t="s">
        <v>146</v>
      </c>
      <c r="D102" s="82">
        <v>0.08</v>
      </c>
      <c r="E102" s="112"/>
      <c r="F102" s="112"/>
    </row>
    <row r="103" spans="1:6" x14ac:dyDescent="0.3">
      <c r="A103" s="15" t="s">
        <v>147</v>
      </c>
      <c r="B103" s="82">
        <v>0.1</v>
      </c>
      <c r="C103" s="15" t="s">
        <v>147</v>
      </c>
      <c r="D103" s="82">
        <v>0.08</v>
      </c>
      <c r="E103" s="112"/>
      <c r="F103" s="112"/>
    </row>
    <row r="104" spans="1:6" x14ac:dyDescent="0.3">
      <c r="A104" s="15" t="s">
        <v>148</v>
      </c>
      <c r="B104" s="82">
        <v>0.1</v>
      </c>
      <c r="C104" s="15" t="s">
        <v>148</v>
      </c>
      <c r="D104" s="82">
        <v>0.08</v>
      </c>
      <c r="E104" s="112"/>
      <c r="F104" s="113"/>
    </row>
    <row r="105" spans="1:6" x14ac:dyDescent="0.3">
      <c r="A105" s="15" t="s">
        <v>149</v>
      </c>
      <c r="B105" s="110">
        <v>0.15</v>
      </c>
      <c r="C105" s="15" t="s">
        <v>149</v>
      </c>
      <c r="D105" s="110">
        <v>0.13</v>
      </c>
      <c r="E105" s="112"/>
      <c r="F105" s="111" t="s">
        <v>316</v>
      </c>
    </row>
    <row r="106" spans="1:6" x14ac:dyDescent="0.3">
      <c r="A106" s="15" t="s">
        <v>150</v>
      </c>
      <c r="B106" s="110">
        <v>0.15</v>
      </c>
      <c r="C106" s="15" t="s">
        <v>150</v>
      </c>
      <c r="D106" s="110">
        <v>0.13</v>
      </c>
      <c r="E106" s="112"/>
      <c r="F106" s="112"/>
    </row>
    <row r="107" spans="1:6" x14ac:dyDescent="0.3">
      <c r="A107" s="15" t="s">
        <v>151</v>
      </c>
      <c r="B107" s="110">
        <v>0.15</v>
      </c>
      <c r="C107" s="15" t="s">
        <v>151</v>
      </c>
      <c r="D107" s="110">
        <v>0.13</v>
      </c>
      <c r="E107" s="112"/>
      <c r="F107" s="112"/>
    </row>
    <row r="108" spans="1:6" x14ac:dyDescent="0.3">
      <c r="A108" s="15" t="s">
        <v>152</v>
      </c>
      <c r="B108" s="110">
        <v>0.15</v>
      </c>
      <c r="C108" s="15" t="s">
        <v>152</v>
      </c>
      <c r="D108" s="110">
        <v>0.13</v>
      </c>
      <c r="E108" s="112"/>
      <c r="F108" s="112"/>
    </row>
    <row r="109" spans="1:6" x14ac:dyDescent="0.3">
      <c r="A109" s="15" t="s">
        <v>153</v>
      </c>
      <c r="B109" s="110">
        <v>0.15</v>
      </c>
      <c r="C109" s="15" t="s">
        <v>153</v>
      </c>
      <c r="D109" s="110">
        <v>0.13</v>
      </c>
      <c r="E109" s="112"/>
      <c r="F109" s="112"/>
    </row>
    <row r="110" spans="1:6" x14ac:dyDescent="0.3">
      <c r="A110" s="15" t="s">
        <v>154</v>
      </c>
      <c r="B110" s="110">
        <v>0.15</v>
      </c>
      <c r="C110" s="15" t="s">
        <v>154</v>
      </c>
      <c r="D110" s="110">
        <v>0.13</v>
      </c>
      <c r="E110" s="112"/>
      <c r="F110" s="113"/>
    </row>
    <row r="111" spans="1:6" x14ac:dyDescent="0.3">
      <c r="A111" s="15" t="s">
        <v>155</v>
      </c>
      <c r="B111" s="110">
        <v>0.15</v>
      </c>
      <c r="C111" s="15" t="s">
        <v>155</v>
      </c>
      <c r="D111" s="110">
        <v>0.13</v>
      </c>
      <c r="E111" s="112"/>
      <c r="F111" s="111" t="s">
        <v>317</v>
      </c>
    </row>
    <row r="112" spans="1:6" x14ac:dyDescent="0.3">
      <c r="A112" s="15" t="s">
        <v>156</v>
      </c>
      <c r="B112" s="110">
        <v>0.15</v>
      </c>
      <c r="C112" s="15" t="s">
        <v>156</v>
      </c>
      <c r="D112" s="110">
        <v>0.13</v>
      </c>
      <c r="E112" s="112"/>
      <c r="F112" s="112"/>
    </row>
    <row r="113" spans="1:6" x14ac:dyDescent="0.3">
      <c r="A113" s="15" t="s">
        <v>157</v>
      </c>
      <c r="B113" s="110">
        <v>0.15</v>
      </c>
      <c r="C113" s="15" t="s">
        <v>157</v>
      </c>
      <c r="D113" s="110">
        <v>0.13</v>
      </c>
      <c r="E113" s="112"/>
      <c r="F113" s="112"/>
    </row>
    <row r="114" spans="1:6" x14ac:dyDescent="0.3">
      <c r="A114" s="15" t="s">
        <v>158</v>
      </c>
      <c r="B114" s="110">
        <v>0.15</v>
      </c>
      <c r="C114" s="15" t="s">
        <v>158</v>
      </c>
      <c r="D114" s="110">
        <v>0.13</v>
      </c>
      <c r="E114" s="112"/>
      <c r="F114" s="112"/>
    </row>
    <row r="115" spans="1:6" x14ac:dyDescent="0.3">
      <c r="A115" s="15" t="s">
        <v>159</v>
      </c>
      <c r="B115" s="110">
        <v>0.15</v>
      </c>
      <c r="C115" s="15" t="s">
        <v>159</v>
      </c>
      <c r="D115" s="110">
        <v>0.13</v>
      </c>
      <c r="E115" s="112"/>
      <c r="F115" s="112"/>
    </row>
    <row r="116" spans="1:6" x14ac:dyDescent="0.3">
      <c r="A116" s="15" t="s">
        <v>160</v>
      </c>
      <c r="B116" s="110">
        <v>0.15</v>
      </c>
      <c r="C116" s="15" t="s">
        <v>160</v>
      </c>
      <c r="D116" s="110">
        <v>0.13</v>
      </c>
      <c r="E116" s="112"/>
      <c r="F116" s="113"/>
    </row>
    <row r="117" spans="1:6" x14ac:dyDescent="0.3">
      <c r="A117" s="15" t="s">
        <v>161</v>
      </c>
      <c r="B117" s="110">
        <v>0.15</v>
      </c>
      <c r="C117" s="15" t="s">
        <v>161</v>
      </c>
      <c r="D117" s="110">
        <v>0.13</v>
      </c>
      <c r="E117" s="112"/>
      <c r="F117" s="111" t="s">
        <v>318</v>
      </c>
    </row>
    <row r="118" spans="1:6" x14ac:dyDescent="0.3">
      <c r="A118" s="15" t="s">
        <v>162</v>
      </c>
      <c r="B118" s="110">
        <v>0.15</v>
      </c>
      <c r="C118" s="15" t="s">
        <v>162</v>
      </c>
      <c r="D118" s="110">
        <v>0.13</v>
      </c>
      <c r="E118" s="112"/>
      <c r="F118" s="112"/>
    </row>
    <row r="119" spans="1:6" x14ac:dyDescent="0.3">
      <c r="A119" s="15" t="s">
        <v>163</v>
      </c>
      <c r="B119" s="110">
        <v>0.15</v>
      </c>
      <c r="C119" s="15" t="s">
        <v>163</v>
      </c>
      <c r="D119" s="110">
        <v>0.13</v>
      </c>
      <c r="E119" s="112"/>
      <c r="F119" s="112"/>
    </row>
    <row r="120" spans="1:6" x14ac:dyDescent="0.3">
      <c r="A120" s="15" t="s">
        <v>164</v>
      </c>
      <c r="B120" s="110">
        <v>0.15</v>
      </c>
      <c r="C120" s="15" t="s">
        <v>164</v>
      </c>
      <c r="D120" s="110">
        <v>0.13</v>
      </c>
      <c r="E120" s="112"/>
      <c r="F120" s="112"/>
    </row>
    <row r="121" spans="1:6" x14ac:dyDescent="0.3">
      <c r="A121" s="15" t="s">
        <v>165</v>
      </c>
      <c r="B121" s="82">
        <v>0.1</v>
      </c>
      <c r="C121" s="15" t="s">
        <v>165</v>
      </c>
      <c r="D121" s="82">
        <v>0.08</v>
      </c>
      <c r="E121" s="112"/>
      <c r="F121" s="112"/>
    </row>
    <row r="122" spans="1:6" x14ac:dyDescent="0.3">
      <c r="A122" s="15" t="s">
        <v>166</v>
      </c>
      <c r="B122" s="82">
        <v>0.1</v>
      </c>
      <c r="C122" s="15" t="s">
        <v>166</v>
      </c>
      <c r="D122" s="82">
        <v>0.08</v>
      </c>
      <c r="E122" s="113"/>
      <c r="F122" s="113"/>
    </row>
    <row r="123" spans="1:6" x14ac:dyDescent="0.3">
      <c r="A123" s="15" t="s">
        <v>167</v>
      </c>
      <c r="B123" s="82">
        <v>0.1</v>
      </c>
      <c r="C123" s="15" t="s">
        <v>167</v>
      </c>
      <c r="D123" s="82">
        <v>0.08</v>
      </c>
      <c r="E123" s="111" t="s">
        <v>323</v>
      </c>
      <c r="F123" s="111" t="s">
        <v>315</v>
      </c>
    </row>
    <row r="124" spans="1:6" x14ac:dyDescent="0.3">
      <c r="A124" s="15" t="s">
        <v>168</v>
      </c>
      <c r="B124" s="82">
        <v>0.1</v>
      </c>
      <c r="C124" s="15" t="s">
        <v>168</v>
      </c>
      <c r="D124" s="82">
        <v>0.08</v>
      </c>
      <c r="E124" s="112"/>
      <c r="F124" s="112"/>
    </row>
    <row r="125" spans="1:6" x14ac:dyDescent="0.3">
      <c r="A125" s="15" t="s">
        <v>169</v>
      </c>
      <c r="B125" s="82">
        <v>0.1</v>
      </c>
      <c r="C125" s="15" t="s">
        <v>169</v>
      </c>
      <c r="D125" s="82">
        <v>0.08</v>
      </c>
      <c r="E125" s="112"/>
      <c r="F125" s="112"/>
    </row>
    <row r="126" spans="1:6" x14ac:dyDescent="0.3">
      <c r="A126" s="15" t="s">
        <v>170</v>
      </c>
      <c r="B126" s="82">
        <v>0.1</v>
      </c>
      <c r="C126" s="15" t="s">
        <v>170</v>
      </c>
      <c r="D126" s="82">
        <v>0.08</v>
      </c>
      <c r="E126" s="112"/>
      <c r="F126" s="112"/>
    </row>
    <row r="127" spans="1:6" x14ac:dyDescent="0.3">
      <c r="A127" s="15" t="s">
        <v>171</v>
      </c>
      <c r="B127" s="82">
        <v>0.1</v>
      </c>
      <c r="C127" s="15" t="s">
        <v>171</v>
      </c>
      <c r="D127" s="82">
        <v>0.08</v>
      </c>
      <c r="E127" s="112"/>
      <c r="F127" s="112"/>
    </row>
    <row r="128" spans="1:6" x14ac:dyDescent="0.3">
      <c r="A128" s="15" t="s">
        <v>172</v>
      </c>
      <c r="B128" s="82">
        <v>0.1</v>
      </c>
      <c r="C128" s="15" t="s">
        <v>172</v>
      </c>
      <c r="D128" s="82">
        <v>0.08</v>
      </c>
      <c r="E128" s="112"/>
      <c r="F128" s="113"/>
    </row>
    <row r="129" spans="1:6" x14ac:dyDescent="0.3">
      <c r="A129" s="15" t="s">
        <v>173</v>
      </c>
      <c r="B129" s="110">
        <v>0.15</v>
      </c>
      <c r="C129" s="15" t="s">
        <v>173</v>
      </c>
      <c r="D129" s="110">
        <v>0.13</v>
      </c>
      <c r="E129" s="112"/>
      <c r="F129" s="111" t="s">
        <v>316</v>
      </c>
    </row>
    <row r="130" spans="1:6" x14ac:dyDescent="0.3">
      <c r="A130" s="15" t="s">
        <v>174</v>
      </c>
      <c r="B130" s="110">
        <v>0.15</v>
      </c>
      <c r="C130" s="15" t="s">
        <v>174</v>
      </c>
      <c r="D130" s="110">
        <v>0.13</v>
      </c>
      <c r="E130" s="112"/>
      <c r="F130" s="112"/>
    </row>
    <row r="131" spans="1:6" x14ac:dyDescent="0.3">
      <c r="A131" s="15" t="s">
        <v>175</v>
      </c>
      <c r="B131" s="110">
        <v>0.15</v>
      </c>
      <c r="C131" s="15" t="s">
        <v>175</v>
      </c>
      <c r="D131" s="110">
        <v>0.13</v>
      </c>
      <c r="E131" s="112"/>
      <c r="F131" s="112"/>
    </row>
    <row r="132" spans="1:6" x14ac:dyDescent="0.3">
      <c r="A132" s="15" t="s">
        <v>176</v>
      </c>
      <c r="B132" s="110">
        <v>0.15</v>
      </c>
      <c r="C132" s="15" t="s">
        <v>176</v>
      </c>
      <c r="D132" s="110">
        <v>0.13</v>
      </c>
      <c r="E132" s="112"/>
      <c r="F132" s="112"/>
    </row>
    <row r="133" spans="1:6" x14ac:dyDescent="0.3">
      <c r="A133" s="15" t="s">
        <v>177</v>
      </c>
      <c r="B133" s="110">
        <v>0.15</v>
      </c>
      <c r="C133" s="15" t="s">
        <v>177</v>
      </c>
      <c r="D133" s="110">
        <v>0.13</v>
      </c>
      <c r="E133" s="112"/>
      <c r="F133" s="112"/>
    </row>
    <row r="134" spans="1:6" x14ac:dyDescent="0.3">
      <c r="A134" s="15" t="s">
        <v>178</v>
      </c>
      <c r="B134" s="110">
        <v>0.15</v>
      </c>
      <c r="C134" s="15" t="s">
        <v>178</v>
      </c>
      <c r="D134" s="110">
        <v>0.13</v>
      </c>
      <c r="E134" s="112"/>
      <c r="F134" s="113"/>
    </row>
    <row r="135" spans="1:6" x14ac:dyDescent="0.3">
      <c r="A135" s="15" t="s">
        <v>179</v>
      </c>
      <c r="B135" s="110">
        <v>0.15</v>
      </c>
      <c r="C135" s="15" t="s">
        <v>179</v>
      </c>
      <c r="D135" s="110">
        <v>0.13</v>
      </c>
      <c r="E135" s="112"/>
      <c r="F135" s="111" t="s">
        <v>317</v>
      </c>
    </row>
    <row r="136" spans="1:6" x14ac:dyDescent="0.3">
      <c r="A136" s="15" t="s">
        <v>180</v>
      </c>
      <c r="B136" s="110">
        <v>0.15</v>
      </c>
      <c r="C136" s="15" t="s">
        <v>180</v>
      </c>
      <c r="D136" s="110">
        <v>0.13</v>
      </c>
      <c r="E136" s="112"/>
      <c r="F136" s="112"/>
    </row>
    <row r="137" spans="1:6" x14ac:dyDescent="0.3">
      <c r="A137" s="15" t="s">
        <v>181</v>
      </c>
      <c r="B137" s="110">
        <v>0.15</v>
      </c>
      <c r="C137" s="15" t="s">
        <v>181</v>
      </c>
      <c r="D137" s="110">
        <v>0.13</v>
      </c>
      <c r="E137" s="112"/>
      <c r="F137" s="112"/>
    </row>
    <row r="138" spans="1:6" x14ac:dyDescent="0.3">
      <c r="A138" s="15" t="s">
        <v>182</v>
      </c>
      <c r="B138" s="110">
        <v>0.15</v>
      </c>
      <c r="C138" s="15" t="s">
        <v>182</v>
      </c>
      <c r="D138" s="110">
        <v>0.13</v>
      </c>
      <c r="E138" s="112"/>
      <c r="F138" s="112"/>
    </row>
    <row r="139" spans="1:6" x14ac:dyDescent="0.3">
      <c r="A139" s="15" t="s">
        <v>183</v>
      </c>
      <c r="B139" s="110">
        <v>0.15</v>
      </c>
      <c r="C139" s="15" t="s">
        <v>183</v>
      </c>
      <c r="D139" s="110">
        <v>0.13</v>
      </c>
      <c r="E139" s="112"/>
      <c r="F139" s="112"/>
    </row>
    <row r="140" spans="1:6" x14ac:dyDescent="0.3">
      <c r="A140" s="15" t="s">
        <v>184</v>
      </c>
      <c r="B140" s="110">
        <v>0.15</v>
      </c>
      <c r="C140" s="15" t="s">
        <v>184</v>
      </c>
      <c r="D140" s="110">
        <v>0.13</v>
      </c>
      <c r="E140" s="112"/>
      <c r="F140" s="113"/>
    </row>
    <row r="141" spans="1:6" x14ac:dyDescent="0.3">
      <c r="A141" s="15" t="s">
        <v>185</v>
      </c>
      <c r="B141" s="110">
        <v>0.15</v>
      </c>
      <c r="C141" s="15" t="s">
        <v>185</v>
      </c>
      <c r="D141" s="110">
        <v>0.13</v>
      </c>
      <c r="E141" s="112"/>
      <c r="F141" s="111" t="s">
        <v>318</v>
      </c>
    </row>
    <row r="142" spans="1:6" x14ac:dyDescent="0.3">
      <c r="A142" s="15" t="s">
        <v>186</v>
      </c>
      <c r="B142" s="110">
        <v>0.15</v>
      </c>
      <c r="C142" s="15" t="s">
        <v>186</v>
      </c>
      <c r="D142" s="110">
        <v>0.13</v>
      </c>
      <c r="E142" s="112"/>
      <c r="F142" s="112"/>
    </row>
    <row r="143" spans="1:6" x14ac:dyDescent="0.3">
      <c r="A143" s="15" t="s">
        <v>187</v>
      </c>
      <c r="B143" s="110">
        <v>0.15</v>
      </c>
      <c r="C143" s="15" t="s">
        <v>187</v>
      </c>
      <c r="D143" s="110">
        <v>0.13</v>
      </c>
      <c r="E143" s="112"/>
      <c r="F143" s="112"/>
    </row>
    <row r="144" spans="1:6" x14ac:dyDescent="0.3">
      <c r="A144" s="15" t="s">
        <v>188</v>
      </c>
      <c r="B144" s="110">
        <v>0.15</v>
      </c>
      <c r="C144" s="15" t="s">
        <v>188</v>
      </c>
      <c r="D144" s="110">
        <v>0.13</v>
      </c>
      <c r="E144" s="112"/>
      <c r="F144" s="112"/>
    </row>
    <row r="145" spans="1:6" x14ac:dyDescent="0.3">
      <c r="A145" s="15" t="s">
        <v>189</v>
      </c>
      <c r="B145" s="82">
        <v>0.1</v>
      </c>
      <c r="C145" s="15" t="s">
        <v>189</v>
      </c>
      <c r="D145" s="82">
        <v>0.08</v>
      </c>
      <c r="E145" s="112"/>
      <c r="F145" s="112"/>
    </row>
    <row r="146" spans="1:6" x14ac:dyDescent="0.3">
      <c r="A146" s="15" t="s">
        <v>190</v>
      </c>
      <c r="B146" s="82">
        <v>0.1</v>
      </c>
      <c r="C146" s="15" t="s">
        <v>190</v>
      </c>
      <c r="D146" s="82">
        <v>0.08</v>
      </c>
      <c r="E146" s="113"/>
      <c r="F146" s="113"/>
    </row>
    <row r="147" spans="1:6" x14ac:dyDescent="0.3">
      <c r="A147" s="15" t="s">
        <v>191</v>
      </c>
      <c r="B147" s="82">
        <v>0.1</v>
      </c>
      <c r="C147" s="15" t="s">
        <v>191</v>
      </c>
      <c r="D147" s="82">
        <v>0.08</v>
      </c>
      <c r="E147" s="111" t="s">
        <v>324</v>
      </c>
      <c r="F147" s="111" t="s">
        <v>315</v>
      </c>
    </row>
    <row r="148" spans="1:6" x14ac:dyDescent="0.3">
      <c r="A148" s="15" t="s">
        <v>192</v>
      </c>
      <c r="B148" s="82">
        <v>0.1</v>
      </c>
      <c r="C148" s="15" t="s">
        <v>192</v>
      </c>
      <c r="D148" s="82">
        <v>0.08</v>
      </c>
      <c r="E148" s="112"/>
      <c r="F148" s="112"/>
    </row>
    <row r="149" spans="1:6" x14ac:dyDescent="0.3">
      <c r="A149" s="15" t="s">
        <v>193</v>
      </c>
      <c r="B149" s="82">
        <v>0.1</v>
      </c>
      <c r="C149" s="15" t="s">
        <v>193</v>
      </c>
      <c r="D149" s="82">
        <v>0.08</v>
      </c>
      <c r="E149" s="112"/>
      <c r="F149" s="112"/>
    </row>
    <row r="150" spans="1:6" x14ac:dyDescent="0.3">
      <c r="A150" s="15" t="s">
        <v>194</v>
      </c>
      <c r="B150" s="82">
        <v>0.1</v>
      </c>
      <c r="C150" s="15" t="s">
        <v>194</v>
      </c>
      <c r="D150" s="82">
        <v>0.08</v>
      </c>
      <c r="E150" s="112"/>
      <c r="F150" s="112"/>
    </row>
    <row r="151" spans="1:6" x14ac:dyDescent="0.3">
      <c r="A151" s="15" t="s">
        <v>195</v>
      </c>
      <c r="B151" s="82">
        <v>0.1</v>
      </c>
      <c r="C151" s="15" t="s">
        <v>195</v>
      </c>
      <c r="D151" s="82">
        <v>0.08</v>
      </c>
      <c r="E151" s="112"/>
      <c r="F151" s="112"/>
    </row>
    <row r="152" spans="1:6" x14ac:dyDescent="0.3">
      <c r="A152" s="15" t="s">
        <v>196</v>
      </c>
      <c r="B152" s="82">
        <v>0.1</v>
      </c>
      <c r="C152" s="15" t="s">
        <v>196</v>
      </c>
      <c r="D152" s="82">
        <v>0.08</v>
      </c>
      <c r="E152" s="112"/>
      <c r="F152" s="113"/>
    </row>
    <row r="153" spans="1:6" x14ac:dyDescent="0.3">
      <c r="A153" s="15" t="s">
        <v>197</v>
      </c>
      <c r="B153" s="110">
        <v>0.15</v>
      </c>
      <c r="C153" s="15" t="s">
        <v>197</v>
      </c>
      <c r="D153" s="110">
        <v>0.13</v>
      </c>
      <c r="E153" s="112"/>
      <c r="F153" s="111" t="s">
        <v>316</v>
      </c>
    </row>
    <row r="154" spans="1:6" x14ac:dyDescent="0.3">
      <c r="A154" s="15" t="s">
        <v>198</v>
      </c>
      <c r="B154" s="110">
        <v>0.15</v>
      </c>
      <c r="C154" s="15" t="s">
        <v>198</v>
      </c>
      <c r="D154" s="110">
        <v>0.13</v>
      </c>
      <c r="E154" s="112"/>
      <c r="F154" s="112"/>
    </row>
    <row r="155" spans="1:6" x14ac:dyDescent="0.3">
      <c r="A155" s="15" t="s">
        <v>199</v>
      </c>
      <c r="B155" s="110">
        <v>0.15</v>
      </c>
      <c r="C155" s="15" t="s">
        <v>199</v>
      </c>
      <c r="D155" s="110">
        <v>0.13</v>
      </c>
      <c r="E155" s="112"/>
      <c r="F155" s="112"/>
    </row>
    <row r="156" spans="1:6" x14ac:dyDescent="0.3">
      <c r="A156" s="15" t="s">
        <v>200</v>
      </c>
      <c r="B156" s="110">
        <v>0.15</v>
      </c>
      <c r="C156" s="15" t="s">
        <v>200</v>
      </c>
      <c r="D156" s="110">
        <v>0.13</v>
      </c>
      <c r="E156" s="112"/>
      <c r="F156" s="112"/>
    </row>
    <row r="157" spans="1:6" x14ac:dyDescent="0.3">
      <c r="A157" s="15" t="s">
        <v>201</v>
      </c>
      <c r="B157" s="110">
        <v>0.15</v>
      </c>
      <c r="C157" s="15" t="s">
        <v>201</v>
      </c>
      <c r="D157" s="110">
        <v>0.13</v>
      </c>
      <c r="E157" s="112"/>
      <c r="F157" s="112"/>
    </row>
    <row r="158" spans="1:6" x14ac:dyDescent="0.3">
      <c r="A158" s="15" t="s">
        <v>202</v>
      </c>
      <c r="B158" s="110">
        <v>0.15</v>
      </c>
      <c r="C158" s="15" t="s">
        <v>202</v>
      </c>
      <c r="D158" s="110">
        <v>0.13</v>
      </c>
      <c r="E158" s="112"/>
      <c r="F158" s="113"/>
    </row>
    <row r="159" spans="1:6" x14ac:dyDescent="0.3">
      <c r="A159" s="15" t="s">
        <v>203</v>
      </c>
      <c r="B159" s="110">
        <v>0.15</v>
      </c>
      <c r="C159" s="15" t="s">
        <v>203</v>
      </c>
      <c r="D159" s="110">
        <v>0.13</v>
      </c>
      <c r="E159" s="112"/>
      <c r="F159" s="111" t="s">
        <v>317</v>
      </c>
    </row>
    <row r="160" spans="1:6" x14ac:dyDescent="0.3">
      <c r="A160" s="15" t="s">
        <v>204</v>
      </c>
      <c r="B160" s="110">
        <v>0.15</v>
      </c>
      <c r="C160" s="15" t="s">
        <v>204</v>
      </c>
      <c r="D160" s="110">
        <v>0.13</v>
      </c>
      <c r="E160" s="112"/>
      <c r="F160" s="112"/>
    </row>
    <row r="161" spans="1:6" x14ac:dyDescent="0.3">
      <c r="A161" s="15" t="s">
        <v>205</v>
      </c>
      <c r="B161" s="110">
        <v>0.15</v>
      </c>
      <c r="C161" s="15" t="s">
        <v>205</v>
      </c>
      <c r="D161" s="110">
        <v>0.13</v>
      </c>
      <c r="E161" s="112"/>
      <c r="F161" s="112"/>
    </row>
    <row r="162" spans="1:6" x14ac:dyDescent="0.3">
      <c r="A162" s="15" t="s">
        <v>206</v>
      </c>
      <c r="B162" s="110">
        <v>0.15</v>
      </c>
      <c r="C162" s="15" t="s">
        <v>206</v>
      </c>
      <c r="D162" s="110">
        <v>0.13</v>
      </c>
      <c r="E162" s="112"/>
      <c r="F162" s="112"/>
    </row>
    <row r="163" spans="1:6" x14ac:dyDescent="0.3">
      <c r="A163" s="15" t="s">
        <v>207</v>
      </c>
      <c r="B163" s="110">
        <v>0.15</v>
      </c>
      <c r="C163" s="15" t="s">
        <v>207</v>
      </c>
      <c r="D163" s="110">
        <v>0.13</v>
      </c>
      <c r="E163" s="112"/>
      <c r="F163" s="112"/>
    </row>
    <row r="164" spans="1:6" x14ac:dyDescent="0.3">
      <c r="A164" s="15" t="s">
        <v>208</v>
      </c>
      <c r="B164" s="110">
        <v>0.15</v>
      </c>
      <c r="C164" s="15" t="s">
        <v>208</v>
      </c>
      <c r="D164" s="110">
        <v>0.13</v>
      </c>
      <c r="E164" s="112"/>
      <c r="F164" s="113"/>
    </row>
    <row r="165" spans="1:6" x14ac:dyDescent="0.3">
      <c r="A165" s="15" t="s">
        <v>209</v>
      </c>
      <c r="B165" s="110">
        <v>0.15</v>
      </c>
      <c r="C165" s="15" t="s">
        <v>209</v>
      </c>
      <c r="D165" s="110">
        <v>0.13</v>
      </c>
      <c r="E165" s="112"/>
      <c r="F165" s="111" t="s">
        <v>318</v>
      </c>
    </row>
    <row r="166" spans="1:6" x14ac:dyDescent="0.3">
      <c r="A166" s="15" t="s">
        <v>210</v>
      </c>
      <c r="B166" s="110">
        <v>0.15</v>
      </c>
      <c r="C166" s="15" t="s">
        <v>210</v>
      </c>
      <c r="D166" s="110">
        <v>0.13</v>
      </c>
      <c r="E166" s="112"/>
      <c r="F166" s="112"/>
    </row>
    <row r="167" spans="1:6" x14ac:dyDescent="0.3">
      <c r="A167" s="15" t="s">
        <v>211</v>
      </c>
      <c r="B167" s="110">
        <v>0.15</v>
      </c>
      <c r="C167" s="15" t="s">
        <v>211</v>
      </c>
      <c r="D167" s="110">
        <v>0.13</v>
      </c>
      <c r="E167" s="112"/>
      <c r="F167" s="112"/>
    </row>
    <row r="168" spans="1:6" x14ac:dyDescent="0.3">
      <c r="A168" s="15" t="s">
        <v>212</v>
      </c>
      <c r="B168" s="110">
        <v>0.15</v>
      </c>
      <c r="C168" s="15" t="s">
        <v>212</v>
      </c>
      <c r="D168" s="110">
        <v>0.13</v>
      </c>
      <c r="E168" s="112"/>
      <c r="F168" s="112"/>
    </row>
    <row r="169" spans="1:6" x14ac:dyDescent="0.3">
      <c r="A169" s="15" t="s">
        <v>213</v>
      </c>
      <c r="B169" s="82">
        <v>0.1</v>
      </c>
      <c r="C169" s="15" t="s">
        <v>213</v>
      </c>
      <c r="D169" s="82">
        <v>0.08</v>
      </c>
      <c r="E169" s="112"/>
      <c r="F169" s="112"/>
    </row>
    <row r="170" spans="1:6" x14ac:dyDescent="0.3">
      <c r="A170" s="15" t="s">
        <v>45</v>
      </c>
      <c r="B170" s="82">
        <v>0.1</v>
      </c>
      <c r="C170" s="15" t="s">
        <v>45</v>
      </c>
      <c r="D170" s="82">
        <v>0.08</v>
      </c>
      <c r="E170" s="113"/>
      <c r="F170" s="113"/>
    </row>
    <row r="171" spans="1:6" s="84" customFormat="1" x14ac:dyDescent="0.3">
      <c r="B171" s="83">
        <v>0.1</v>
      </c>
      <c r="D171" s="83">
        <v>0.08</v>
      </c>
      <c r="E171" s="114" t="s">
        <v>314</v>
      </c>
      <c r="F171" s="114" t="s">
        <v>315</v>
      </c>
    </row>
    <row r="172" spans="1:6" x14ac:dyDescent="0.3">
      <c r="B172" s="82">
        <v>0.1</v>
      </c>
      <c r="D172" s="82">
        <v>0.08</v>
      </c>
      <c r="E172" s="112"/>
      <c r="F172" s="112"/>
    </row>
    <row r="173" spans="1:6" x14ac:dyDescent="0.3">
      <c r="B173" s="82">
        <v>0.1</v>
      </c>
      <c r="D173" s="82">
        <v>0.08</v>
      </c>
      <c r="E173" s="112"/>
      <c r="F173" s="112"/>
    </row>
    <row r="174" spans="1:6" x14ac:dyDescent="0.3">
      <c r="B174" s="82">
        <v>0.1</v>
      </c>
      <c r="D174" s="82">
        <v>0.08</v>
      </c>
      <c r="E174" s="112"/>
      <c r="F174" s="112"/>
    </row>
    <row r="175" spans="1:6" x14ac:dyDescent="0.3">
      <c r="B175" s="82">
        <v>0.1</v>
      </c>
      <c r="D175" s="82">
        <v>0.08</v>
      </c>
      <c r="E175" s="112"/>
      <c r="F175" s="112"/>
    </row>
    <row r="176" spans="1:6" x14ac:dyDescent="0.3">
      <c r="B176" s="82">
        <v>0.1</v>
      </c>
      <c r="D176" s="82">
        <v>0.08</v>
      </c>
      <c r="E176" s="112"/>
      <c r="F176" s="113"/>
    </row>
    <row r="177" spans="2:6" x14ac:dyDescent="0.3">
      <c r="B177" s="110">
        <v>0.15</v>
      </c>
      <c r="D177" s="110">
        <v>0.13</v>
      </c>
      <c r="E177" s="112"/>
      <c r="F177" s="111" t="s">
        <v>316</v>
      </c>
    </row>
    <row r="178" spans="2:6" x14ac:dyDescent="0.3">
      <c r="B178" s="110">
        <v>0.15</v>
      </c>
      <c r="D178" s="110">
        <v>0.13</v>
      </c>
      <c r="E178" s="112"/>
      <c r="F178" s="112"/>
    </row>
    <row r="179" spans="2:6" x14ac:dyDescent="0.3">
      <c r="B179" s="110">
        <v>0.15</v>
      </c>
      <c r="D179" s="110">
        <v>0.13</v>
      </c>
      <c r="E179" s="112"/>
      <c r="F179" s="112"/>
    </row>
    <row r="180" spans="2:6" x14ac:dyDescent="0.3">
      <c r="B180" s="110">
        <v>0.15</v>
      </c>
      <c r="D180" s="110">
        <v>0.13</v>
      </c>
      <c r="E180" s="112"/>
      <c r="F180" s="112"/>
    </row>
    <row r="181" spans="2:6" x14ac:dyDescent="0.3">
      <c r="B181" s="110">
        <v>0.15</v>
      </c>
      <c r="D181" s="110">
        <v>0.13</v>
      </c>
      <c r="E181" s="112"/>
      <c r="F181" s="112"/>
    </row>
    <row r="182" spans="2:6" x14ac:dyDescent="0.3">
      <c r="B182" s="110">
        <v>0.15</v>
      </c>
      <c r="D182" s="110">
        <v>0.13</v>
      </c>
      <c r="E182" s="112"/>
      <c r="F182" s="113"/>
    </row>
    <row r="183" spans="2:6" x14ac:dyDescent="0.3">
      <c r="B183" s="110">
        <v>0.15</v>
      </c>
      <c r="D183" s="110">
        <v>0.13</v>
      </c>
      <c r="E183" s="112"/>
      <c r="F183" s="111" t="s">
        <v>317</v>
      </c>
    </row>
    <row r="184" spans="2:6" x14ac:dyDescent="0.3">
      <c r="B184" s="110">
        <v>0.15</v>
      </c>
      <c r="D184" s="110">
        <v>0.13</v>
      </c>
      <c r="E184" s="112"/>
      <c r="F184" s="112"/>
    </row>
    <row r="185" spans="2:6" x14ac:dyDescent="0.3">
      <c r="B185" s="110">
        <v>0.15</v>
      </c>
      <c r="D185" s="110">
        <v>0.13</v>
      </c>
      <c r="E185" s="112"/>
      <c r="F185" s="112"/>
    </row>
    <row r="186" spans="2:6" x14ac:dyDescent="0.3">
      <c r="B186" s="110">
        <v>0.15</v>
      </c>
      <c r="D186" s="110">
        <v>0.13</v>
      </c>
      <c r="E186" s="112"/>
      <c r="F186" s="112"/>
    </row>
    <row r="187" spans="2:6" x14ac:dyDescent="0.3">
      <c r="B187" s="110">
        <v>0.15</v>
      </c>
      <c r="D187" s="110">
        <v>0.13</v>
      </c>
      <c r="E187" s="112"/>
      <c r="F187" s="112"/>
    </row>
    <row r="188" spans="2:6" x14ac:dyDescent="0.3">
      <c r="B188" s="110">
        <v>0.15</v>
      </c>
      <c r="D188" s="110">
        <v>0.13</v>
      </c>
      <c r="E188" s="112"/>
      <c r="F188" s="113"/>
    </row>
    <row r="189" spans="2:6" x14ac:dyDescent="0.3">
      <c r="B189" s="110">
        <v>0.15</v>
      </c>
      <c r="D189" s="110">
        <v>0.13</v>
      </c>
      <c r="E189" s="112"/>
      <c r="F189" s="111" t="s">
        <v>318</v>
      </c>
    </row>
    <row r="190" spans="2:6" x14ac:dyDescent="0.3">
      <c r="B190" s="110">
        <v>0.15</v>
      </c>
      <c r="D190" s="110">
        <v>0.13</v>
      </c>
      <c r="E190" s="112"/>
      <c r="F190" s="112"/>
    </row>
    <row r="191" spans="2:6" x14ac:dyDescent="0.3">
      <c r="B191" s="110">
        <v>0.15</v>
      </c>
      <c r="D191" s="110">
        <v>0.13</v>
      </c>
      <c r="E191" s="112"/>
      <c r="F191" s="112"/>
    </row>
    <row r="192" spans="2:6" x14ac:dyDescent="0.3">
      <c r="B192" s="110">
        <v>0.15</v>
      </c>
      <c r="D192" s="110">
        <v>0.13</v>
      </c>
      <c r="E192" s="112"/>
      <c r="F192" s="112"/>
    </row>
    <row r="193" spans="2:6" x14ac:dyDescent="0.3">
      <c r="B193" s="82">
        <v>0.1</v>
      </c>
      <c r="D193" s="82">
        <v>0.08</v>
      </c>
      <c r="E193" s="112"/>
      <c r="F193" s="112"/>
    </row>
    <row r="194" spans="2:6" x14ac:dyDescent="0.3">
      <c r="B194" s="82">
        <v>0.1</v>
      </c>
      <c r="D194" s="82">
        <v>0.08</v>
      </c>
      <c r="E194" s="113"/>
      <c r="F194" s="113"/>
    </row>
    <row r="195" spans="2:6" x14ac:dyDescent="0.3">
      <c r="B195" s="82">
        <v>0.1</v>
      </c>
      <c r="D195" s="82">
        <v>0.08</v>
      </c>
      <c r="E195" s="111" t="s">
        <v>319</v>
      </c>
      <c r="F195" s="111" t="s">
        <v>315</v>
      </c>
    </row>
    <row r="196" spans="2:6" x14ac:dyDescent="0.3">
      <c r="B196" s="82">
        <v>0.1</v>
      </c>
      <c r="D196" s="82">
        <v>0.08</v>
      </c>
      <c r="E196" s="112"/>
      <c r="F196" s="112"/>
    </row>
    <row r="197" spans="2:6" x14ac:dyDescent="0.3">
      <c r="B197" s="82">
        <v>0.1</v>
      </c>
      <c r="D197" s="82">
        <v>0.08</v>
      </c>
      <c r="E197" s="112"/>
      <c r="F197" s="112"/>
    </row>
    <row r="198" spans="2:6" x14ac:dyDescent="0.3">
      <c r="B198" s="82">
        <v>0.1</v>
      </c>
      <c r="D198" s="82">
        <v>0.08</v>
      </c>
      <c r="E198" s="112"/>
      <c r="F198" s="112"/>
    </row>
    <row r="199" spans="2:6" x14ac:dyDescent="0.3">
      <c r="B199" s="82">
        <v>0.1</v>
      </c>
      <c r="D199" s="82">
        <v>0.08</v>
      </c>
      <c r="E199" s="112"/>
      <c r="F199" s="112"/>
    </row>
    <row r="200" spans="2:6" x14ac:dyDescent="0.3">
      <c r="B200" s="82">
        <v>0.1</v>
      </c>
      <c r="D200" s="82">
        <v>0.08</v>
      </c>
      <c r="E200" s="112"/>
      <c r="F200" s="113"/>
    </row>
    <row r="201" spans="2:6" x14ac:dyDescent="0.3">
      <c r="B201" s="110">
        <v>0.15</v>
      </c>
      <c r="D201" s="110">
        <v>0.13</v>
      </c>
      <c r="E201" s="112"/>
      <c r="F201" s="111" t="s">
        <v>316</v>
      </c>
    </row>
    <row r="202" spans="2:6" x14ac:dyDescent="0.3">
      <c r="B202" s="110">
        <v>0.15</v>
      </c>
      <c r="D202" s="110">
        <v>0.13</v>
      </c>
      <c r="E202" s="112"/>
      <c r="F202" s="112"/>
    </row>
    <row r="203" spans="2:6" x14ac:dyDescent="0.3">
      <c r="B203" s="110">
        <v>0.15</v>
      </c>
      <c r="D203" s="110">
        <v>0.13</v>
      </c>
      <c r="E203" s="112"/>
      <c r="F203" s="112"/>
    </row>
    <row r="204" spans="2:6" x14ac:dyDescent="0.3">
      <c r="B204" s="110">
        <v>0.15</v>
      </c>
      <c r="D204" s="110">
        <v>0.13</v>
      </c>
      <c r="E204" s="112"/>
      <c r="F204" s="112"/>
    </row>
    <row r="205" spans="2:6" x14ac:dyDescent="0.3">
      <c r="B205" s="110">
        <v>0.15</v>
      </c>
      <c r="D205" s="110">
        <v>0.13</v>
      </c>
      <c r="E205" s="112"/>
      <c r="F205" s="112"/>
    </row>
    <row r="206" spans="2:6" x14ac:dyDescent="0.3">
      <c r="B206" s="110">
        <v>0.15</v>
      </c>
      <c r="D206" s="110">
        <v>0.13</v>
      </c>
      <c r="E206" s="112"/>
      <c r="F206" s="113"/>
    </row>
    <row r="207" spans="2:6" x14ac:dyDescent="0.3">
      <c r="B207" s="110">
        <v>0.15</v>
      </c>
      <c r="D207" s="110">
        <v>0.13</v>
      </c>
      <c r="E207" s="112"/>
      <c r="F207" s="111" t="s">
        <v>317</v>
      </c>
    </row>
    <row r="208" spans="2:6" x14ac:dyDescent="0.3">
      <c r="B208" s="110">
        <v>0.15</v>
      </c>
      <c r="D208" s="110">
        <v>0.13</v>
      </c>
      <c r="E208" s="112"/>
      <c r="F208" s="112"/>
    </row>
    <row r="209" spans="2:6" x14ac:dyDescent="0.3">
      <c r="B209" s="110">
        <v>0.15</v>
      </c>
      <c r="D209" s="110">
        <v>0.13</v>
      </c>
      <c r="E209" s="112"/>
      <c r="F209" s="112"/>
    </row>
    <row r="210" spans="2:6" x14ac:dyDescent="0.3">
      <c r="B210" s="110">
        <v>0.15</v>
      </c>
      <c r="D210" s="110">
        <v>0.13</v>
      </c>
      <c r="E210" s="112"/>
      <c r="F210" s="112"/>
    </row>
    <row r="211" spans="2:6" x14ac:dyDescent="0.3">
      <c r="B211" s="110">
        <v>0.15</v>
      </c>
      <c r="D211" s="110">
        <v>0.13</v>
      </c>
      <c r="E211" s="112"/>
      <c r="F211" s="112"/>
    </row>
    <row r="212" spans="2:6" x14ac:dyDescent="0.3">
      <c r="B212" s="110">
        <v>0.15</v>
      </c>
      <c r="D212" s="110">
        <v>0.13</v>
      </c>
      <c r="E212" s="112"/>
      <c r="F212" s="113"/>
    </row>
    <row r="213" spans="2:6" x14ac:dyDescent="0.3">
      <c r="B213" s="110">
        <v>0.15</v>
      </c>
      <c r="D213" s="110">
        <v>0.13</v>
      </c>
      <c r="E213" s="112"/>
      <c r="F213" s="111" t="s">
        <v>318</v>
      </c>
    </row>
    <row r="214" spans="2:6" x14ac:dyDescent="0.3">
      <c r="B214" s="110">
        <v>0.15</v>
      </c>
      <c r="D214" s="110">
        <v>0.13</v>
      </c>
      <c r="E214" s="112"/>
      <c r="F214" s="112"/>
    </row>
    <row r="215" spans="2:6" x14ac:dyDescent="0.3">
      <c r="B215" s="110">
        <v>0.15</v>
      </c>
      <c r="D215" s="110">
        <v>0.13</v>
      </c>
      <c r="E215" s="112"/>
      <c r="F215" s="112"/>
    </row>
    <row r="216" spans="2:6" x14ac:dyDescent="0.3">
      <c r="B216" s="110">
        <v>0.15</v>
      </c>
      <c r="D216" s="110">
        <v>0.13</v>
      </c>
      <c r="E216" s="112"/>
      <c r="F216" s="112"/>
    </row>
    <row r="217" spans="2:6" x14ac:dyDescent="0.3">
      <c r="B217" s="82">
        <v>0.1</v>
      </c>
      <c r="D217" s="82">
        <v>0.08</v>
      </c>
      <c r="E217" s="112"/>
      <c r="F217" s="112"/>
    </row>
    <row r="218" spans="2:6" x14ac:dyDescent="0.3">
      <c r="B218" s="82">
        <v>0.1</v>
      </c>
      <c r="D218" s="82">
        <v>0.08</v>
      </c>
      <c r="E218" s="113"/>
      <c r="F218" s="113"/>
    </row>
    <row r="219" spans="2:6" x14ac:dyDescent="0.3">
      <c r="B219" s="82">
        <v>0.1</v>
      </c>
      <c r="D219" s="82">
        <v>0.08</v>
      </c>
      <c r="E219" s="111" t="s">
        <v>320</v>
      </c>
      <c r="F219" s="111" t="s">
        <v>315</v>
      </c>
    </row>
    <row r="220" spans="2:6" x14ac:dyDescent="0.3">
      <c r="B220" s="82">
        <v>0.1</v>
      </c>
      <c r="D220" s="82">
        <v>0.08</v>
      </c>
      <c r="E220" s="112"/>
      <c r="F220" s="112"/>
    </row>
    <row r="221" spans="2:6" x14ac:dyDescent="0.3">
      <c r="B221" s="82">
        <v>0.1</v>
      </c>
      <c r="D221" s="82">
        <v>0.08</v>
      </c>
      <c r="E221" s="112"/>
      <c r="F221" s="112"/>
    </row>
    <row r="222" spans="2:6" x14ac:dyDescent="0.3">
      <c r="B222" s="82">
        <v>0.1</v>
      </c>
      <c r="D222" s="82">
        <v>0.08</v>
      </c>
      <c r="E222" s="112"/>
      <c r="F222" s="112"/>
    </row>
    <row r="223" spans="2:6" x14ac:dyDescent="0.3">
      <c r="B223" s="82">
        <v>0.1</v>
      </c>
      <c r="D223" s="82">
        <v>0.08</v>
      </c>
      <c r="E223" s="112"/>
      <c r="F223" s="112"/>
    </row>
    <row r="224" spans="2:6" x14ac:dyDescent="0.3">
      <c r="B224" s="82">
        <v>0.1</v>
      </c>
      <c r="D224" s="82">
        <v>0.08</v>
      </c>
      <c r="E224" s="112"/>
      <c r="F224" s="113"/>
    </row>
    <row r="225" spans="2:6" x14ac:dyDescent="0.3">
      <c r="B225" s="110">
        <v>0.15</v>
      </c>
      <c r="D225" s="110">
        <v>0.13</v>
      </c>
      <c r="E225" s="112"/>
      <c r="F225" s="111" t="s">
        <v>316</v>
      </c>
    </row>
    <row r="226" spans="2:6" x14ac:dyDescent="0.3">
      <c r="B226" s="110">
        <v>0.15</v>
      </c>
      <c r="D226" s="110">
        <v>0.13</v>
      </c>
      <c r="E226" s="112"/>
      <c r="F226" s="112"/>
    </row>
    <row r="227" spans="2:6" x14ac:dyDescent="0.3">
      <c r="B227" s="110">
        <v>0.15</v>
      </c>
      <c r="D227" s="110">
        <v>0.13</v>
      </c>
      <c r="E227" s="112"/>
      <c r="F227" s="112"/>
    </row>
    <row r="228" spans="2:6" x14ac:dyDescent="0.3">
      <c r="B228" s="110">
        <v>0.15</v>
      </c>
      <c r="D228" s="110">
        <v>0.13</v>
      </c>
      <c r="E228" s="112"/>
      <c r="F228" s="112"/>
    </row>
    <row r="229" spans="2:6" x14ac:dyDescent="0.3">
      <c r="B229" s="110">
        <v>0.15</v>
      </c>
      <c r="D229" s="110">
        <v>0.13</v>
      </c>
      <c r="E229" s="112"/>
      <c r="F229" s="112"/>
    </row>
    <row r="230" spans="2:6" x14ac:dyDescent="0.3">
      <c r="B230" s="110">
        <v>0.15</v>
      </c>
      <c r="D230" s="110">
        <v>0.13</v>
      </c>
      <c r="E230" s="112"/>
      <c r="F230" s="113"/>
    </row>
    <row r="231" spans="2:6" x14ac:dyDescent="0.3">
      <c r="B231" s="110">
        <v>0.15</v>
      </c>
      <c r="D231" s="110">
        <v>0.13</v>
      </c>
      <c r="E231" s="112"/>
      <c r="F231" s="111" t="s">
        <v>317</v>
      </c>
    </row>
    <row r="232" spans="2:6" x14ac:dyDescent="0.3">
      <c r="B232" s="110">
        <v>0.15</v>
      </c>
      <c r="D232" s="110">
        <v>0.13</v>
      </c>
      <c r="E232" s="112"/>
      <c r="F232" s="112"/>
    </row>
    <row r="233" spans="2:6" x14ac:dyDescent="0.3">
      <c r="B233" s="110">
        <v>0.15</v>
      </c>
      <c r="D233" s="110">
        <v>0.13</v>
      </c>
      <c r="E233" s="112"/>
      <c r="F233" s="112"/>
    </row>
    <row r="234" spans="2:6" x14ac:dyDescent="0.3">
      <c r="B234" s="110">
        <v>0.15</v>
      </c>
      <c r="D234" s="110">
        <v>0.13</v>
      </c>
      <c r="E234" s="112"/>
      <c r="F234" s="112"/>
    </row>
    <row r="235" spans="2:6" x14ac:dyDescent="0.3">
      <c r="B235" s="110">
        <v>0.15</v>
      </c>
      <c r="D235" s="110">
        <v>0.13</v>
      </c>
      <c r="E235" s="112"/>
      <c r="F235" s="112"/>
    </row>
    <row r="236" spans="2:6" x14ac:dyDescent="0.3">
      <c r="B236" s="110">
        <v>0.15</v>
      </c>
      <c r="D236" s="110">
        <v>0.13</v>
      </c>
      <c r="E236" s="112"/>
      <c r="F236" s="113"/>
    </row>
    <row r="237" spans="2:6" x14ac:dyDescent="0.3">
      <c r="B237" s="110">
        <v>0.15</v>
      </c>
      <c r="D237" s="110">
        <v>0.13</v>
      </c>
      <c r="E237" s="112"/>
      <c r="F237" s="111" t="s">
        <v>318</v>
      </c>
    </row>
    <row r="238" spans="2:6" x14ac:dyDescent="0.3">
      <c r="B238" s="110">
        <v>0.15</v>
      </c>
      <c r="D238" s="110">
        <v>0.13</v>
      </c>
      <c r="E238" s="112"/>
      <c r="F238" s="112"/>
    </row>
    <row r="239" spans="2:6" x14ac:dyDescent="0.3">
      <c r="B239" s="110">
        <v>0.15</v>
      </c>
      <c r="D239" s="110">
        <v>0.13</v>
      </c>
      <c r="E239" s="112"/>
      <c r="F239" s="112"/>
    </row>
    <row r="240" spans="2:6" x14ac:dyDescent="0.3">
      <c r="B240" s="110">
        <v>0.15</v>
      </c>
      <c r="D240" s="110">
        <v>0.13</v>
      </c>
      <c r="E240" s="112"/>
      <c r="F240" s="112"/>
    </row>
    <row r="241" spans="2:6" x14ac:dyDescent="0.3">
      <c r="B241" s="82">
        <v>0.1</v>
      </c>
      <c r="D241" s="82">
        <v>0.08</v>
      </c>
      <c r="E241" s="112"/>
      <c r="F241" s="112"/>
    </row>
    <row r="242" spans="2:6" x14ac:dyDescent="0.3">
      <c r="B242" s="82">
        <v>0.1</v>
      </c>
      <c r="D242" s="82">
        <v>0.08</v>
      </c>
      <c r="E242" s="113"/>
      <c r="F242" s="113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B42D0-0F26-4108-BF6B-E46D99FF100B}">
  <sheetPr codeName="Sheet8"/>
  <dimension ref="A1:L34"/>
  <sheetViews>
    <sheetView workbookViewId="0">
      <selection activeCell="D17" sqref="D17"/>
    </sheetView>
  </sheetViews>
  <sheetFormatPr defaultRowHeight="14.4" x14ac:dyDescent="0.3"/>
  <cols>
    <col min="2" max="2" width="40.44140625" customWidth="1"/>
    <col min="5" max="5" width="2.77734375" customWidth="1"/>
    <col min="8" max="8" width="16.6640625" bestFit="1" customWidth="1"/>
    <col min="9" max="9" width="20.44140625" bestFit="1" customWidth="1"/>
  </cols>
  <sheetData>
    <row r="1" spans="1:12" ht="15" thickBot="1" x14ac:dyDescent="0.35">
      <c r="A1" t="s">
        <v>295</v>
      </c>
    </row>
    <row r="2" spans="1:12" x14ac:dyDescent="0.3">
      <c r="B2" s="85" t="s">
        <v>296</v>
      </c>
      <c r="C2" s="155"/>
      <c r="D2" s="155"/>
      <c r="E2" s="86"/>
      <c r="H2" s="85" t="s">
        <v>308</v>
      </c>
      <c r="I2" s="99" t="s">
        <v>309</v>
      </c>
      <c r="L2" t="s">
        <v>340</v>
      </c>
    </row>
    <row r="3" spans="1:12" x14ac:dyDescent="0.3">
      <c r="B3" s="87"/>
      <c r="C3" s="154"/>
      <c r="D3" s="154"/>
      <c r="E3" s="89"/>
      <c r="H3" s="100">
        <f>D14</f>
        <v>7.5</v>
      </c>
      <c r="I3" s="101">
        <f>D8</f>
        <v>2.5</v>
      </c>
      <c r="L3" s="133" t="s">
        <v>339</v>
      </c>
    </row>
    <row r="4" spans="1:12" x14ac:dyDescent="0.3">
      <c r="B4" s="90" t="s">
        <v>297</v>
      </c>
      <c r="C4" s="154"/>
      <c r="D4" s="154"/>
      <c r="E4" s="89"/>
      <c r="H4" s="100">
        <f>D11</f>
        <v>15</v>
      </c>
      <c r="I4" s="101">
        <f>D5</f>
        <v>4.8</v>
      </c>
    </row>
    <row r="5" spans="1:12" ht="15" thickBot="1" x14ac:dyDescent="0.35">
      <c r="B5" s="87" t="s">
        <v>298</v>
      </c>
      <c r="C5" s="88" t="s">
        <v>2</v>
      </c>
      <c r="D5" s="91">
        <v>4.8</v>
      </c>
      <c r="E5" s="89" t="s">
        <v>3</v>
      </c>
      <c r="H5" s="102">
        <v>0</v>
      </c>
      <c r="I5" s="103">
        <f>D20</f>
        <v>0.20000000000000018</v>
      </c>
    </row>
    <row r="6" spans="1:12" x14ac:dyDescent="0.3">
      <c r="B6" s="92"/>
      <c r="C6" s="154"/>
      <c r="D6" s="154"/>
      <c r="E6" s="93"/>
    </row>
    <row r="7" spans="1:12" x14ac:dyDescent="0.3">
      <c r="B7" s="90" t="s">
        <v>299</v>
      </c>
      <c r="C7" s="156"/>
      <c r="D7" s="156"/>
      <c r="E7" s="94"/>
      <c r="H7">
        <f>D5*10</f>
        <v>48</v>
      </c>
    </row>
    <row r="8" spans="1:12" x14ac:dyDescent="0.3">
      <c r="B8" s="87" t="s">
        <v>300</v>
      </c>
      <c r="C8" s="88" t="s">
        <v>2</v>
      </c>
      <c r="D8" s="91">
        <v>2.5</v>
      </c>
      <c r="E8" s="93" t="s">
        <v>3</v>
      </c>
      <c r="H8">
        <f>D11/H7</f>
        <v>0.3125</v>
      </c>
      <c r="I8">
        <f>0.5*H8</f>
        <v>0.15625</v>
      </c>
    </row>
    <row r="9" spans="1:12" x14ac:dyDescent="0.3">
      <c r="B9" s="87"/>
      <c r="C9" s="154"/>
      <c r="D9" s="154"/>
      <c r="E9" s="89"/>
    </row>
    <row r="10" spans="1:12" x14ac:dyDescent="0.3">
      <c r="B10" s="90" t="s">
        <v>301</v>
      </c>
      <c r="C10" s="154"/>
      <c r="D10" s="154"/>
      <c r="E10" s="89"/>
    </row>
    <row r="11" spans="1:12" x14ac:dyDescent="0.3">
      <c r="B11" s="2" t="s">
        <v>15</v>
      </c>
      <c r="C11" s="88" t="s">
        <v>2</v>
      </c>
      <c r="D11" s="95">
        <v>15</v>
      </c>
      <c r="E11" s="89" t="s">
        <v>3</v>
      </c>
      <c r="F11" s="105" t="s">
        <v>311</v>
      </c>
    </row>
    <row r="12" spans="1:12" x14ac:dyDescent="0.3">
      <c r="B12" s="87"/>
      <c r="C12" s="88"/>
      <c r="D12" s="88" t="s">
        <v>302</v>
      </c>
      <c r="E12" s="89"/>
    </row>
    <row r="13" spans="1:12" x14ac:dyDescent="0.3">
      <c r="B13" s="90" t="s">
        <v>303</v>
      </c>
      <c r="C13" s="154"/>
      <c r="D13" s="154"/>
      <c r="E13" s="89"/>
    </row>
    <row r="14" spans="1:12" x14ac:dyDescent="0.3">
      <c r="B14" s="87"/>
      <c r="C14" s="88" t="s">
        <v>2</v>
      </c>
      <c r="D14" s="96">
        <f>D11/2</f>
        <v>7.5</v>
      </c>
      <c r="E14" s="89" t="s">
        <v>3</v>
      </c>
      <c r="F14" s="105" t="s">
        <v>312</v>
      </c>
    </row>
    <row r="15" spans="1:12" x14ac:dyDescent="0.3">
      <c r="B15" s="87"/>
      <c r="C15" s="154"/>
      <c r="D15" s="154"/>
      <c r="E15" s="89"/>
    </row>
    <row r="16" spans="1:12" x14ac:dyDescent="0.3">
      <c r="B16" s="90" t="s">
        <v>304</v>
      </c>
      <c r="C16" s="154"/>
      <c r="D16" s="154"/>
      <c r="E16" s="89"/>
    </row>
    <row r="17" spans="2:6" x14ac:dyDescent="0.3">
      <c r="B17" s="87" t="s">
        <v>246</v>
      </c>
      <c r="C17" s="88" t="s">
        <v>2</v>
      </c>
      <c r="D17" s="96">
        <f>(D5-D8)/(D11-D14)</f>
        <v>0.30666666666666664</v>
      </c>
      <c r="E17" s="89" t="s">
        <v>3</v>
      </c>
      <c r="F17" s="105" t="s">
        <v>312</v>
      </c>
    </row>
    <row r="18" spans="2:6" x14ac:dyDescent="0.3">
      <c r="B18" s="87"/>
      <c r="C18" s="154"/>
      <c r="D18" s="154"/>
      <c r="E18" s="89"/>
    </row>
    <row r="19" spans="2:6" x14ac:dyDescent="0.3">
      <c r="B19" s="90" t="s">
        <v>305</v>
      </c>
      <c r="C19" s="154"/>
      <c r="D19" s="154"/>
      <c r="E19" s="89"/>
    </row>
    <row r="20" spans="2:6" x14ac:dyDescent="0.3">
      <c r="B20" s="87" t="s">
        <v>306</v>
      </c>
      <c r="C20" s="88" t="s">
        <v>2</v>
      </c>
      <c r="D20" s="135">
        <f>D8-D14*D17</f>
        <v>0.20000000000000018</v>
      </c>
      <c r="E20" s="89" t="s">
        <v>3</v>
      </c>
      <c r="F20" s="105" t="s">
        <v>312</v>
      </c>
    </row>
    <row r="21" spans="2:6" x14ac:dyDescent="0.3">
      <c r="B21" s="87"/>
      <c r="C21" s="154"/>
      <c r="D21" s="154"/>
      <c r="E21" s="89"/>
    </row>
    <row r="22" spans="2:6" x14ac:dyDescent="0.3">
      <c r="B22" s="90" t="s">
        <v>307</v>
      </c>
      <c r="C22" s="154"/>
      <c r="D22" s="154"/>
      <c r="E22" s="89"/>
    </row>
    <row r="23" spans="2:6" x14ac:dyDescent="0.3">
      <c r="B23" s="87" t="s">
        <v>244</v>
      </c>
      <c r="C23" s="88" t="s">
        <v>2</v>
      </c>
      <c r="D23" s="96">
        <f>D20/D11</f>
        <v>1.3333333333333345E-2</v>
      </c>
      <c r="E23" s="89" t="s">
        <v>3</v>
      </c>
      <c r="F23" s="105" t="s">
        <v>312</v>
      </c>
    </row>
    <row r="24" spans="2:6" x14ac:dyDescent="0.3">
      <c r="B24" s="87"/>
      <c r="C24" s="154"/>
      <c r="D24" s="154"/>
      <c r="E24" s="89"/>
    </row>
    <row r="25" spans="2:6" x14ac:dyDescent="0.3">
      <c r="B25" s="87"/>
      <c r="C25" s="154"/>
      <c r="D25" s="154"/>
      <c r="E25" s="89"/>
    </row>
    <row r="26" spans="2:6" x14ac:dyDescent="0.3">
      <c r="B26" s="87"/>
      <c r="C26" s="154"/>
      <c r="D26" s="154"/>
      <c r="E26" s="89"/>
    </row>
    <row r="27" spans="2:6" ht="15" thickBot="1" x14ac:dyDescent="0.35">
      <c r="B27" s="97"/>
      <c r="C27" s="157"/>
      <c r="D27" s="157"/>
      <c r="E27" s="98"/>
    </row>
    <row r="31" spans="2:6" x14ac:dyDescent="0.3">
      <c r="B31" t="s">
        <v>337</v>
      </c>
      <c r="C31" t="e">
        <f>(3600*1)/B34</f>
        <v>#VALUE!</v>
      </c>
    </row>
    <row r="34" spans="2:3" x14ac:dyDescent="0.3">
      <c r="B34" t="s">
        <v>338</v>
      </c>
      <c r="C34">
        <v>820</v>
      </c>
    </row>
  </sheetData>
  <mergeCells count="18">
    <mergeCell ref="C27:D27"/>
    <mergeCell ref="C10:D10"/>
    <mergeCell ref="C13:D13"/>
    <mergeCell ref="C15:D15"/>
    <mergeCell ref="C16:D16"/>
    <mergeCell ref="C18:D18"/>
    <mergeCell ref="C19:D19"/>
    <mergeCell ref="C21:D21"/>
    <mergeCell ref="C22:D22"/>
    <mergeCell ref="C24:D24"/>
    <mergeCell ref="C25:D25"/>
    <mergeCell ref="C26:D26"/>
    <mergeCell ref="C9:D9"/>
    <mergeCell ref="C2:D2"/>
    <mergeCell ref="C3:D3"/>
    <mergeCell ref="C4:D4"/>
    <mergeCell ref="C6:D6"/>
    <mergeCell ref="C7:D7"/>
  </mergeCells>
  <hyperlinks>
    <hyperlink ref="L3" r:id="rId1" display="https://www.ablesales.com.au/blog/diesel-generator-fuel-consumption-chart-in-litres.html" xr:uid="{454C9A60-579B-4165-98FA-DACDBD5D258E}"/>
  </hyperlinks>
  <pageMargins left="0.7" right="0.7" top="0.75" bottom="0.75" header="0.3" footer="0.3"/>
  <pageSetup paperSize="9" orientation="portrait" horizontalDpi="4294967292" verticalDpi="12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Sets</vt:lpstr>
      <vt:lpstr>Parameters</vt:lpstr>
      <vt:lpstr>Gridfailure</vt:lpstr>
      <vt:lpstr>EPV</vt:lpstr>
      <vt:lpstr>loadA</vt:lpstr>
      <vt:lpstr>loadB</vt:lpstr>
      <vt:lpstr>grid_prices</vt:lpstr>
      <vt:lpstr>DieselGenerator</vt:lpstr>
      <vt:lpstr>parameters</vt:lpstr>
      <vt:lpstr>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2022-05-16T13:36:29Z</dcterms:modified>
</cp:coreProperties>
</file>